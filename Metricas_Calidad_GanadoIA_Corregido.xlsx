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6.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7.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fcc784945c34ff8" /></Relationships>
</file>

<file path=xl/workbook.xml><?xml version="1.0" encoding="utf-8"?>
<x:workbook xmlns:x="http://schemas.openxmlformats.org/spreadsheetml/2006/main">
  <x:sheets>
    <x:sheet xmlns:r="http://schemas.openxmlformats.org/officeDocument/2006/relationships" name="Resumen" sheetId="1" r:id="R2e7316dc78354935"/>
    <x:sheet xmlns:r="http://schemas.openxmlformats.org/officeDocument/2006/relationships" name="1. Aprobación" sheetId="2" r:id="R9cf15a0864e8469c"/>
    <x:sheet xmlns:r="http://schemas.openxmlformats.org/officeDocument/2006/relationships" name="2. Por plataforma" sheetId="3" r:id="Ra97342aad65b4225"/>
    <x:sheet xmlns:r="http://schemas.openxmlformats.org/officeDocument/2006/relationships" name="3. Por severidad" sheetId="4" r:id="Rf523fc0132194d9a"/>
    <x:sheet xmlns:r="http://schemas.openxmlformats.org/officeDocument/2006/relationships" name="4. Defectos por caso" sheetId="5" r:id="R3930b7c6e46142df"/>
    <x:sheet xmlns:r="http://schemas.openxmlformats.org/officeDocument/2006/relationships" name="5. Cobertura" sheetId="6" r:id="R370a79cf31e047f7"/>
    <x:sheet xmlns:r="http://schemas.openxmlformats.org/officeDocument/2006/relationships" name="6. Re-prueba" sheetId="7" r:id="R767ea52c669f4a2d"/>
  </x:sheets>
</x:workbook>
</file>

<file path=xl/sharedStrings.xml><?xml version="1.0" encoding="utf-8"?>
<x:sst xmlns:x="http://schemas.openxmlformats.org/spreadsheetml/2006/main">
  <x:si>
    <x:t xml:space="preserve">Métricas de calidad: ejecución de pruebas manuales</x:t>
  </x:si>
  <x:si>
    <x:t xml:space="preserve">Proyecto: GanadoIA, sistema de registro y gestión de ganado (web, API y app móvil Android)</x:t>
  </x:si>
  <x:si>
    <x:t xml:space="preserve">Materia: Aseguramiento de la Calidad del Software SQA</x:t>
  </x:si>
  <x:si>
    <x:t xml:space="preserve">Nota: los datos son ficticios, usados para construir las gráficas.</x:t>
  </x:si>
  <x:si>
    <x:t xml:space="preserve">N.º</x:t>
  </x:si>
  <x:si>
    <x:t xml:space="preserve">Métrica</x:t>
  </x:si>
  <x:si>
    <x:t xml:space="preserve">Resultado</x:t>
  </x:si>
  <x:si>
    <x:t xml:space="preserve">Qué representa</x:t>
  </x:si>
  <x:si>
    <x:t xml:space="preserve">Tipo de gráfica</x:t>
  </x:si>
  <x:si>
    <x:t xml:space="preserve">Barras</x:t>
  </x:si>
  <x:si>
    <x:t xml:space="preserve">Defectos encontrados por plataforma</x:t>
  </x:si>
  <x:si>
    <x:t xml:space="preserve">defectos en total</x:t>
  </x:si>
  <x:si>
    <x:t xml:space="preserve">Defectos por severidad</x:t>
  </x:si>
  <x:si>
    <x:t xml:space="preserve">críticos + altos</x:t>
  </x:si>
  <x:si>
    <x:t xml:space="preserve">Torta</x:t>
  </x:si>
  <x:si>
    <x:t xml:space="preserve">Defectos encontrados por caso ejecutado</x:t>
  </x:si>
  <x:si>
    <x:t xml:space="preserve">defectos por caso</x:t>
  </x:si>
  <x:si>
    <x:t xml:space="preserve">Cobertura de historias de usuario por pruebas</x:t>
  </x:si>
  <x:si>
    <x:t xml:space="preserve">historias probadas</x:t>
  </x:si>
  <x:si>
    <x:t xml:space="preserve">Defectos corregidos y verificados en re-prueba</x:t>
  </x:si>
  <x:si>
    <x:t xml:space="preserve">defectos verificados</x:t>
  </x:si>
  <x:si>
    <x:t xml:space="preserve">Conclusión general</x:t>
  </x:si>
  <x:si>
    <x:t xml:space="preserve">Métrica (forma literal)</x:t>
  </x:si>
  <x:si>
    <x:t xml:space="preserve">Datos utilizados (ficticios)</x:t>
  </x:si>
  <x:si>
    <x:t xml:space="preserve">Porcentaje</x:t>
  </x:si>
  <x:si>
    <x:t xml:space="preserve">Total</x:t>
  </x:si>
  <x:si>
    <x:t xml:space="preserve">Conclusión</x:t>
  </x:si>
  <x:si>
    <x:t xml:space="preserve">Métrica 2: Defectos encontrados por plataforma</x:t>
  </x:si>
  <x:si>
    <x:t xml:space="preserve">Cantidad de defectos que encontraron los testers al ejecutar las pruebas manuales en cada plataforma de GanadoIA: la web (panel del propietario, administrador y soporte), la API (probada manualmente con Postman) y la aplicación móvil Android (APK).</x:t>
  </x:si>
  <x:si>
    <x:t xml:space="preserve">Plataforma</x:t>
  </x:si>
  <x:si>
    <x:t xml:space="preserve">Defectos</x:t>
  </x:si>
  <x:si>
    <x:t xml:space="preserve">Web</x:t>
  </x:si>
  <x:si>
    <x:t xml:space="preserve">API</x:t>
  </x:si>
  <x:si>
    <x:t xml:space="preserve">Móvil</x:t>
  </x:si>
  <x:si>
    <x:t xml:space="preserve">Métrica 3: Defectos por severidad</x:t>
  </x:si>
  <x:si>
    <x:t xml:space="preserve">Clasificación de los defectos encontrados en las pruebas manuales de GanadoIA según su impacto para el usuario del rancho. Crítica: impide usar el sistema (por ejemplo, no poder iniciar sesión). Alta: bloquea una función principal (por ejemplo, no poder registrar ganado). Media: la función se usa pero muestra un dato o una vista incorrecta. Baja: detalle visual o de texto.</x:t>
  </x:si>
  <x:si>
    <x:t xml:space="preserve">Severidad</x:t>
  </x:si>
  <x:si>
    <x:t xml:space="preserve">Crítica</x:t>
  </x:si>
  <x:si>
    <x:t xml:space="preserve">Alta</x:t>
  </x:si>
  <x:si>
    <x:t xml:space="preserve">Media</x:t>
  </x:si>
  <x:si>
    <x:t xml:space="preserve">Baja</x:t>
  </x:si>
  <x:si>
    <x:t xml:space="preserve">Métrica 4: Defectos encontrados por caso ejecutado</x:t>
  </x:si>
  <x:si>
    <x:t xml:space="preserve">Promedio de defectos que aparecen por cada caso de prueba manual ejecutado en GanadoIA, calculado en total y por plataforma. Indica qué tan frecuente es encontrar un error al probar el sistema.</x:t>
  </x:si>
  <x:si>
    <x:t xml:space="preserve">Fórmula: defectos encontrados ÷ casos ejecutados</x:t>
  </x:si>
  <x:si>
    <x:t xml:space="preserve">Casos ejecutados</x:t>
  </x:si>
  <x:si>
    <x:t xml:space="preserve">Defectos por caso</x:t>
  </x:si>
  <x:si>
    <x:t xml:space="preserve">Métrica 5: Cobertura de historias de usuario por pruebas</x:t>
  </x:si>
  <x:si>
    <x:t xml:space="preserve">Porcentaje de historias de usuario de GanadoIA (propietario, veterinario, colaborador de campo, administrador de la plataforma y soporte) que tienen al menos un caso de prueba manual ejecutado.</x:t>
  </x:si>
  <x:si>
    <x:t xml:space="preserve">Fórmula: historias con casos ejecutados ÷ historias totales × 100</x:t>
  </x:si>
  <x:si>
    <x:t xml:space="preserve">Historias de usuario</x:t>
  </x:si>
  <x:si>
    <x:t xml:space="preserve">Cantidad</x:t>
  </x:si>
  <x:si>
    <x:t xml:space="preserve">Probadas</x:t>
  </x:si>
  <x:si>
    <x:t xml:space="preserve">Sin probar</x:t>
  </x:si>
  <x:si>
    <x:t xml:space="preserve">Métrica 6: Defectos corregidos y verificados en re-prueba</x:t>
  </x:si>
  <x:si>
    <x:t xml:space="preserve">Porcentaje de los defectos reportados en GanadoIA que el equipo de desarrollo corrigió y que el tester volvió a probar manualmente para confirmar que ya funcionan. Ejemplo: el inicio de sesión que fallaba por espacios escritos sin querer se probó de nuevo y ahora permite ingresar.</x:t>
  </x:si>
  <x:si>
    <x:t xml:space="preserve">Fórmula: defectos verificados ÷ defectos reportados × 100</x:t>
  </x:si>
  <x:si>
    <x:t xml:space="preserve">Estado del defecto</x:t>
  </x:si>
  <x:si>
    <x:t xml:space="preserve">Corregidos y verificados</x:t>
  </x:si>
  <x:si>
    <x:t xml:space="preserve">Abiertos</x:t>
  </x:si>
</x:sst>
</file>

<file path=xl/styles.xml><?xml version="1.0" encoding="utf-8"?>
<x:styleSheet xmlns:x="http://schemas.openxmlformats.org/spreadsheetml/2006/main">
  <x:numFmts count="2">
    <x:numFmt numFmtId="164" formatCode="0.0"/>
    <x:numFmt numFmtId="165" formatCode="0.0%"/>
  </x:numFmts>
  <x:fonts count="4">
    <x:font>
      <x:sz val="11"/>
      <x:color theme="1"/>
      <x:name val="Calibri"/>
      <x:family val="2"/>
      <x:scheme val="minor"/>
    </x:font>
    <x:font>
      <x:b/>
      <x:sz val="14"/>
      <x:color rgb="FF000000"/>
      <x:name val="Arial"/>
    </x:font>
    <x:font>
      <x:sz val="11"/>
      <x:color rgb="FF000000"/>
      <x:name val="Arial"/>
    </x:font>
    <x:font>
      <x:b/>
      <x:sz val="11"/>
      <x:color rgb="FF000000"/>
      <x:name val="Arial"/>
    </x:font>
  </x:fonts>
  <x:fills count="2">
    <x:fill>
      <x:patternFill patternType="none"/>
    </x:fill>
    <x:fill>
      <x:patternFill patternType="gray125"/>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22">
    <x:xf numFmtId="0" fontId="0" fillId="0" borderId="0" xfId="0"/>
    <x:xf numFmtId="0" fontId="3" fillId="0" borderId="1" xfId="0" applyFont="1" applyBorder="1" applyAlignment="1">
      <x:alignment horizontal="center" vertical="center"/>
    </x:xf>
    <x:xf numFmtId="0" fontId="2" fillId="0" borderId="1" xfId="0" applyFont="1" applyBorder="1" applyAlignment="1">
      <x:alignment horizontal="center"/>
    </x:xf>
    <x:xf numFmtId="0" fontId="2" fillId="0" borderId="1" xfId="0" applyFont="1" applyBorder="1" applyAlignment="1">
      <x:alignment horizontal="left"/>
    </x:xf>
    <x:xf numFmtId="164" fontId="2" fillId="0" borderId="1" xfId="0" applyNumberFormat="1" applyFont="1" applyBorder="1" applyAlignment="1">
      <x:alignment horizontal="center"/>
    </x:xf>
    <x:xf numFmtId="1" fontId="2" fillId="0" borderId="1" xfId="0" applyNumberFormat="1" applyFont="1" applyBorder="1" applyAlignment="1">
      <x:alignment horizontal="center"/>
    </x:xf>
    <x:xf numFmtId="165" fontId="2" fillId="0" borderId="1" xfId="0" applyNumberFormat="1" applyFont="1" applyBorder="1" applyAlignment="1">
      <x:alignment horizontal="center"/>
    </x:xf>
    <x:xf numFmtId="2" fontId="2" fillId="0" borderId="1" xfId="0" applyNumberFormat="1" applyFont="1" applyBorder="1" applyAlignment="1">
      <x:alignment horizontal="center"/>
    </x:xf>
    <x:xf numFmtId="0" fontId="3" fillId="0" borderId="0" xfId="0" applyFont="1" applyAlignment="1">
      <x:alignment vertical="top" wrapText="1"/>
    </x:xf>
    <x:xf numFmtId="0" fontId="3" fillId="0" borderId="1" xfId="0" applyFont="1" applyBorder="1" applyAlignment="1">
      <x:alignment horizontal="center" vertical="center" wrapText="1"/>
    </x:xf>
    <x:xf numFmtId="0" fontId="3" fillId="0" borderId="1" xfId="0" applyFont="1" applyBorder="1"/>
    <x:xf numFmtId="0" fontId="3" fillId="0" borderId="1" xfId="0" applyFont="1" applyBorder="1" applyAlignment="1">
      <x:alignment horizontal="center"/>
    </x:xf>
    <x:xf numFmtId="165" fontId="3" fillId="0" borderId="1" xfId="0" applyNumberFormat="1" applyFont="1" applyBorder="1" applyAlignment="1">
      <x:alignment horizontal="center"/>
    </x:xf>
    <x:xf numFmtId="164" fontId="3" fillId="0" borderId="1" xfId="0" applyNumberFormat="1" applyFont="1" applyBorder="1" applyAlignment="1">
      <x:alignment horizontal="center"/>
    </x:xf>
    <x:xf numFmtId="0" fontId="3" fillId="0" borderId="1" xfId="0" applyFont="1" applyBorder="1" applyAlignment="1">
      <x:alignment horizontal="left"/>
    </x:xf>
    <x:xf numFmtId="2" fontId="3" fillId="0" borderId="1" xfId="0" applyNumberFormat="1" applyFont="1" applyBorder="1" applyAlignment="1">
      <x:alignment horizontal="center"/>
    </x:xf>
    <x:xf numFmtId="0" fontId="2" fillId="0" borderId="0" xfId="0" applyFont="1" applyAlignment="1">
      <x:alignment vertical="top" wrapText="1"/>
    </x:xf>
    <x:xf numFmtId="0" fontId="0" fillId="0" borderId="0" xfId="0"/>
    <x:xf numFmtId="0" fontId="1" fillId="0" borderId="0" xfId="0" applyFont="1" applyAlignment="1">
      <x:alignment vertical="top" wrapText="1"/>
    </x:xf>
    <x:xf numFmtId="0" fontId="3" fillId="0" borderId="0" xfId="0" applyFont="1" applyAlignment="1">
      <x:alignment vertical="top" wrapText="1"/>
    </x:xf>
    <x:xf numFmtId="10" fontId="2" fillId="0" borderId="1" xfId="0" applyNumberFormat="1" applyFont="1" applyBorder="1" applyAlignment="1">
      <x:alignment horizontal="center"/>
    </x:xf>
    <x:xf numFmtId="10" fontId="3" fillId="0" borderId="1" xfId="0" applyNumberFormat="1" applyFont="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61e13397284cc7" /><Relationship Type="http://schemas.openxmlformats.org/officeDocument/2006/relationships/theme" Target="/xl/theme/theme1.xml" Id="Red7ae0e4604e4d07" /><Relationship Type="http://schemas.openxmlformats.org/officeDocument/2006/relationships/sharedStrings" Target="/xl/sharedStrings.xml" Id="R7178bc3534c24f94" /><Relationship Type="http://schemas.openxmlformats.org/officeDocument/2006/relationships/worksheet" Target="/xl/worksheets/sheet1.xml" Id="R2e7316dc78354935" /><Relationship Type="http://schemas.openxmlformats.org/officeDocument/2006/relationships/worksheet" Target="/xl/worksheets/sheet2.xml" Id="R9cf15a0864e8469c" /><Relationship Type="http://schemas.openxmlformats.org/officeDocument/2006/relationships/worksheet" Target="/xl/worksheets/sheet3.xml" Id="Ra97342aad65b4225" /><Relationship Type="http://schemas.openxmlformats.org/officeDocument/2006/relationships/worksheet" Target="/xl/worksheets/sheet4.xml" Id="Rf523fc0132194d9a" /><Relationship Type="http://schemas.openxmlformats.org/officeDocument/2006/relationships/worksheet" Target="/xl/worksheets/sheet5.xml" Id="R3930b7c6e46142df" /><Relationship Type="http://schemas.openxmlformats.org/officeDocument/2006/relationships/worksheet" Target="/xl/worksheets/sheet6.xml" Id="R370a79cf31e047f7" /><Relationship Type="http://schemas.openxmlformats.org/officeDocument/2006/relationships/worksheet" Target="/xl/worksheets/sheet7.xml" Id="R767ea52c669f4a2d" /></Relationships>
</file>

<file path=xl/drawings/_rels/drawing1.xml.rels>&#65279;<?xml version="1.0" encoding="utf-8"?><Relationships xmlns="http://schemas.openxmlformats.org/package/2006/relationships"><Relationship Type="http://schemas.openxmlformats.org/officeDocument/2006/relationships/chart" Target="/xl/drawings/charts/chart1.xml" Id="R964178cff46f48c4" /></Relationships>
</file>

<file path=xl/drawings/_rels/drawing2.xml.rels>&#65279;<?xml version="1.0" encoding="utf-8"?><Relationships xmlns="http://schemas.openxmlformats.org/package/2006/relationships"><Relationship Type="http://schemas.openxmlformats.org/officeDocument/2006/relationships/chart" Target="/xl/drawings/charts/chart2.xml" Id="R122848c7e630467e" /></Relationships>
</file>

<file path=xl/drawings/_rels/drawing3.xml.rels>&#65279;<?xml version="1.0" encoding="utf-8"?><Relationships xmlns="http://schemas.openxmlformats.org/package/2006/relationships"><Relationship Type="http://schemas.openxmlformats.org/officeDocument/2006/relationships/chart" Target="/xl/drawings/charts/chart3.xml" Id="R656b4b11b91748b7" /></Relationships>
</file>

<file path=xl/drawings/_rels/drawing4.xml.rels>&#65279;<?xml version="1.0" encoding="utf-8"?><Relationships xmlns="http://schemas.openxmlformats.org/package/2006/relationships"><Relationship Type="http://schemas.openxmlformats.org/officeDocument/2006/relationships/chart" Target="/xl/drawings/charts/chart4.xml" Id="R567fa951ea7645dc" /></Relationships>
</file>

<file path=xl/drawings/_rels/drawing5.xml.rels>&#65279;<?xml version="1.0" encoding="utf-8"?><Relationships xmlns="http://schemas.openxmlformats.org/package/2006/relationships"><Relationship Type="http://schemas.openxmlformats.org/officeDocument/2006/relationships/chart" Target="/xl/drawings/charts/chart5.xml" Id="R5ce1b12e45344f6c" /></Relationships>
</file>

<file path=xl/drawings/_rels/drawing6.xml.rels>&#65279;<?xml version="1.0" encoding="utf-8"?><Relationships xmlns="http://schemas.openxmlformats.org/package/2006/relationships"><Relationship Type="http://schemas.openxmlformats.org/officeDocument/2006/relationships/chart" Target="/xl/drawings/charts/chart6.xml" Id="Rfef27891d96f4d04" /></Relationships>
</file>

<file path=xl/drawings/charts/chart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Resultados de los casos de prueba ejecutados</a:t>
            </a:r>
          </a:p>
        </c:rich>
      </c:tx>
      <c:overlay val="1"/>
    </c:title>
    <c:autoTitleDeleted val="0"/>
    <c:plotArea>
      <c:barChart>
        <c:barDir val="col"/>
        <c:grouping val="clustered"/>
        <c:varyColors val="1"/>
        <c:ser>
          <c:idx val="0"/>
          <c:order val="0"/>
          <c:tx>
            <c:strRef>
              <c:f>'1. Aprobación'!$C$9</c:f>
              <c:strCache>
                <c:ptCount val="1"/>
                <c:pt idx="0">
                  <c:v>Cantidad</c:v>
                </c:pt>
              </c:strCache>
            </c:strRef>
          </c:tx>
          <c:spPr>
            <a:ln xmlns:a="http://schemas.openxmlformats.org/drawingml/2006/main">
              <a:prstDash val="solid"/>
            </a:ln>
          </c:spPr>
          <c:invertIfNegative val="1"/>
          <c:dPt>
            <c:idx val="0"/>
            <c:invertIfNegative val="0"/>
            <c:spPr>
              <a:solidFill xmlns:a="http://schemas.openxmlformats.org/drawingml/2006/main">
                <a:srgbClr val="1F77B4"/>
              </a:solidFill>
              <a:ln xmlns:a="http://schemas.openxmlformats.org/drawingml/2006/main">
                <a:solidFill>
                  <a:srgbClr val="1F77B4"/>
                </a:solidFill>
                <a:prstDash val="solid"/>
              </a:ln>
            </c:spPr>
          </c:dPt>
          <c:dPt>
            <c:idx val="1"/>
            <c:invertIfNegative val="0"/>
            <c:spPr>
              <a:solidFill xmlns:a="http://schemas.openxmlformats.org/drawingml/2006/main">
                <a:srgbClr val="1F77B4"/>
              </a:solidFill>
              <a:ln xmlns:a="http://schemas.openxmlformats.org/drawingml/2006/main">
                <a:solidFill>
                  <a:srgbClr val="1F77B4"/>
                </a:solidFill>
                <a:prstDash val="solid"/>
              </a:ln>
            </c:spPr>
          </c:dPt>
          <c:dLbls>
            <c:spPr>
              <a:noFill xmlns:a="http://schemas.openxmlformats.org/drawingml/2006/main"/>
              <a:ln xmlns:a="http://schemas.openxmlformats.org/drawingml/2006/main">
                <a:noFill/>
              </a:ln>
            </c:spPr>
            <c:showLegendKey val="0"/>
            <c:showVal val="1"/>
            <c:showCatName val="0"/>
            <c:showSerName val="0"/>
            <c:showPercent val="0"/>
            <c:showBubbleSize val="0"/>
            <c:showLeaderLines val="0"/>
          </c:dLbls>
          <c:cat>
            <c:strRef>
              <c:f>'1. Aprobación'!$B$10:$B$11</c:f>
              <c:strCache>
                <c:ptCount val="2"/>
                <c:pt idx="0">
                  <c:v>Aprobados</c:v>
                </c:pt>
                <c:pt idx="1">
                  <c:v>Fallidos</c:v>
                </c:pt>
              </c:strCache>
            </c:strRef>
          </c:cat>
          <c:val>
            <c:numRef>
              <c:f>'1. Aprobación'!$C$10:$C$11</c:f>
              <c:numCache>
                <c:formatCode>General</c:formatCode>
                <c:ptCount val="2"/>
                <c:pt idx="0">
                  <c:v>86</c:v>
                </c:pt>
                <c:pt idx="1">
                  <c:v>22</c:v>
                </c:pt>
              </c:numCache>
            </c:numRef>
          </c:val>
        </c:ser>
        <c:dLbls>
          <c:showLegendKey val="0"/>
          <c:showVal val="0"/>
          <c:showCatName val="0"/>
          <c:showSerName val="0"/>
          <c:showPercent val="0"/>
          <c:showBubbleSize val="0"/>
          <c:showLeaderLines val="0"/>
        </c:dLbls>
        <c:gapWidth val="80"/>
        <c:axId val="10"/>
        <c:axId val="100"/>
      </c:barChart>
      <c:catAx>
        <c:axId val="10"/>
        <c:scaling>
          <c:orientation val="minMax"/>
        </c:scaling>
        <c:delete val="0"/>
        <c:axPos val="b"/>
        <c:title>
          <c:tx>
            <c:rich>
              <a:bodyPr xmlns:a="http://schemas.openxmlformats.org/drawingml/2006/main"/>
              <a:lstStyle xmlns:a="http://schemas.openxmlformats.org/drawingml/2006/main"/>
              <a:p xmlns:a="http://schemas.openxmlformats.org/drawingml/2006/main">
                <a:pPr>
                  <a:buNone/>
                  <a:defRPr sz="1000"/>
                </a:pPr>
                <a:r>
                  <a:rPr sz="1000"/>
                  <a:t>Resultado del caso</a:t>
                </a:r>
              </a:p>
            </c:rich>
          </c:tx>
          <c:overlay val="0"/>
          <c:txPr>
            <a:bodyPr xmlns:a="http://schemas.openxmlformats.org/drawingml/2006/main" anchorCtr="1"/>
            <a:lstStyle xmlns:a="http://schemas.openxmlformats.org/drawingml/2006/main"/>
            <a:p xmlns:a="http://schemas.openxmlformats.org/drawingml/2006/main">
              <a:pPr>
                <a:defRPr sz="1000"/>
              </a:pPr>
            </a:p>
          </c:txPr>
        </c:title>
        <c:numFmt formatCode="General" sourceLinked="1"/>
        <c:majorTickMark val="none"/>
        <c:minorTickMark val="none"/>
        <c:tickLblPos val="nextTo"/>
        <c:crossAx val="100"/>
        <c:crosses val="autoZero"/>
        <c:lblAlgn val="ctr"/>
        <c:noMultiLvlLbl val="1"/>
        <c:lblOffset val="100"/>
      </c:catAx>
      <c:valAx>
        <c:axId val="100"/>
        <c:scaling>
          <c:orientation val="minMax"/>
          <c:max val="100"/>
          <c:min val="0"/>
        </c:scaling>
        <c:delete val="0"/>
        <c:axPos val="l"/>
        <c:title>
          <c:tx>
            <c:rich>
              <a:bodyPr xmlns:a="http://schemas.openxmlformats.org/drawingml/2006/main"/>
              <a:lstStyle xmlns:a="http://schemas.openxmlformats.org/drawingml/2006/main"/>
              <a:p xmlns:a="http://schemas.openxmlformats.org/drawingml/2006/main">
                <a:pPr>
                  <a:buNone/>
                  <a:defRPr sz="1000"/>
                </a:pPr>
                <a:r>
                  <a:rPr sz="1000"/>
                  <a:t>Cantidad de casos</a:t>
                </a:r>
              </a:p>
            </c:rich>
          </c:tx>
          <c:overlay val="0"/>
          <c:txPr>
            <a:bodyPr xmlns:a="http://schemas.openxmlformats.org/drawingml/2006/main" anchorCtr="1"/>
            <a:lstStyle xmlns:a="http://schemas.openxmlformats.org/drawingml/2006/main"/>
            <a:p xmlns:a="http://schemas.openxmlformats.org/drawingml/2006/main">
              <a:pPr>
                <a:defRPr sz="1000"/>
              </a:pPr>
            </a:p>
          </c:txPr>
        </c:title>
        <c:numFmt formatCode="0" sourceLinked="0"/>
        <c:majorTickMark val="none"/>
        <c:minorTickMark val="none"/>
        <c:tickLblPos val="nextTo"/>
        <c:crossAx val="10"/>
        <c:crosses val="autoZero"/>
        <c:crossBetween val="between"/>
        <c:majorUnit val="20"/>
      </c:valAx>
    </c:plotArea>
    <c:plotVisOnly val="1"/>
    <c:dispBlanksAs val="gap"/>
    <c:showDLblsOverMax val="1"/>
  </c:chart>
</c:chartSpace>
</file>

<file path=xl/drawings/charts/chart2.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Defectos encontrados por plataforma</a:t>
            </a:r>
          </a:p>
        </c:rich>
      </c:tx>
      <c:overlay val="1"/>
    </c:title>
    <c:autoTitleDeleted val="0"/>
    <c:plotArea>
      <c:barChart>
        <c:barDir val="col"/>
        <c:grouping val="clustered"/>
        <c:varyColors val="1"/>
        <c:ser>
          <c:idx val="0"/>
          <c:order val="0"/>
          <c:tx>
            <c:strRef>
              <c:f>'2. Por plataforma'!$C$8</c:f>
              <c:strCache>
                <c:ptCount val="1"/>
                <c:pt idx="0">
                  <c:v>Defectos</c:v>
                </c:pt>
              </c:strCache>
            </c:strRef>
          </c:tx>
          <c:spPr>
            <a:ln xmlns:a="http://schemas.openxmlformats.org/drawingml/2006/main">
              <a:prstDash val="solid"/>
            </a:ln>
          </c:spPr>
          <c:invertIfNegative val="1"/>
          <c:dPt>
            <c:idx val="0"/>
            <c:invertIfNegative val="0"/>
            <c:spPr>
              <a:solidFill xmlns:a="http://schemas.openxmlformats.org/drawingml/2006/main">
                <a:srgbClr val="1F77B4"/>
              </a:solidFill>
              <a:ln xmlns:a="http://schemas.openxmlformats.org/drawingml/2006/main">
                <a:solidFill>
                  <a:srgbClr val="1F77B4"/>
                </a:solidFill>
                <a:prstDash val="solid"/>
              </a:ln>
            </c:spPr>
          </c:dPt>
          <c:dPt>
            <c:idx val="1"/>
            <c:invertIfNegative val="0"/>
            <c:spPr>
              <a:solidFill xmlns:a="http://schemas.openxmlformats.org/drawingml/2006/main">
                <a:srgbClr val="FF7F0E"/>
              </a:solidFill>
              <a:ln xmlns:a="http://schemas.openxmlformats.org/drawingml/2006/main">
                <a:solidFill>
                  <a:srgbClr val="FF7F0E"/>
                </a:solidFill>
                <a:prstDash val="solid"/>
              </a:ln>
            </c:spPr>
          </c:dPt>
          <c:dPt>
            <c:idx val="2"/>
            <c:invertIfNegative val="0"/>
            <c:spPr>
              <a:solidFill xmlns:a="http://schemas.openxmlformats.org/drawingml/2006/main">
                <a:srgbClr val="2CA02C"/>
              </a:solidFill>
              <a:ln xmlns:a="http://schemas.openxmlformats.org/drawingml/2006/main">
                <a:solidFill>
                  <a:srgbClr val="2CA02C"/>
                </a:solidFill>
                <a:prstDash val="solid"/>
              </a:ln>
            </c:spPr>
          </c:dPt>
          <c:dLbls>
            <c:spPr>
              <a:noFill xmlns:a="http://schemas.openxmlformats.org/drawingml/2006/main"/>
              <a:ln xmlns:a="http://schemas.openxmlformats.org/drawingml/2006/main">
                <a:noFill/>
              </a:ln>
            </c:spPr>
            <c:showLegendKey val="0"/>
            <c:showVal val="1"/>
            <c:showCatName val="0"/>
            <c:showSerName val="0"/>
            <c:showPercent val="1"/>
            <c:showBubbleSize val="1"/>
            <c:showLeaderLines val="0"/>
          </c:dLbls>
          <c:cat>
            <c:strRef>
              <c:f>'2. Por plataforma'!$B$9:$B$11</c:f>
              <c:strCache>
                <c:ptCount val="3"/>
                <c:pt idx="0">
                  <c:v>Web</c:v>
                </c:pt>
                <c:pt idx="1">
                  <c:v>API</c:v>
                </c:pt>
                <c:pt idx="2">
                  <c:v>Móvil</c:v>
                </c:pt>
              </c:strCache>
            </c:strRef>
          </c:cat>
          <c:val>
            <c:numRef>
              <c:f>'2. Por plataforma'!$C$9:$C$11</c:f>
              <c:numCache>
                <c:formatCode>General</c:formatCode>
                <c:ptCount val="3"/>
                <c:pt idx="0">
                  <c:v>9</c:v>
                </c:pt>
                <c:pt idx="1">
                  <c:v>7</c:v>
                </c:pt>
                <c:pt idx="2">
                  <c:v>11</c:v>
                </c:pt>
              </c:numCache>
            </c:numRef>
          </c:val>
        </c:ser>
        <c:dLbls>
          <c:showLegendKey val="0"/>
          <c:showVal val="0"/>
          <c:showCatName val="0"/>
          <c:showSerName val="0"/>
          <c:showPercent val="0"/>
          <c:showBubbleSize val="0"/>
          <c:showLeaderLines val="0"/>
        </c:dLbls>
        <c:gapWidth val="80"/>
        <c:axId val="10"/>
        <c:axId val="100"/>
      </c:barChart>
      <c:catAx>
        <c:axId val="10"/>
        <c:scaling>
          <c:orientation val="minMax"/>
        </c:scaling>
        <c:delete val="0"/>
        <c:axPos val="b"/>
        <c:title>
          <c:tx>
            <c:rich>
              <a:bodyPr xmlns:a="http://schemas.openxmlformats.org/drawingml/2006/main"/>
              <a:lstStyle xmlns:a="http://schemas.openxmlformats.org/drawingml/2006/main"/>
              <a:p xmlns:a="http://schemas.openxmlformats.org/drawingml/2006/main">
                <a:pPr>
                  <a:buNone/>
                  <a:defRPr sz="1000"/>
                </a:pPr>
                <a:r>
                  <a:rPr sz="1000"/>
                  <a:t>Plataforma</a:t>
                </a:r>
              </a:p>
            </c:rich>
          </c:tx>
          <c:overlay val="0"/>
          <c:txPr>
            <a:bodyPr xmlns:a="http://schemas.openxmlformats.org/drawingml/2006/main" anchorCtr="1"/>
            <a:lstStyle xmlns:a="http://schemas.openxmlformats.org/drawingml/2006/main"/>
            <a:p xmlns:a="http://schemas.openxmlformats.org/drawingml/2006/main">
              <a:pPr>
                <a:defRPr sz="1000"/>
              </a:pPr>
            </a:p>
          </c:txPr>
        </c:title>
        <c:numFmt formatCode="General" sourceLinked="1"/>
        <c:majorTickMark val="none"/>
        <c:minorTickMark val="none"/>
        <c:tickLblPos val="nextTo"/>
        <c:crossAx val="100"/>
        <c:crosses val="autoZero"/>
        <c:lblAlgn val="ctr"/>
        <c:noMultiLvlLbl val="1"/>
        <c:lblOffset val="100"/>
      </c:catAx>
      <c:valAx>
        <c:axId val="100"/>
        <c:scaling>
          <c:orientation val="minMax"/>
          <c:max val="12"/>
          <c:min val="0"/>
        </c:scaling>
        <c:delete val="0"/>
        <c:axPos val="l"/>
        <c:title>
          <c:tx>
            <c:rich>
              <a:bodyPr xmlns:a="http://schemas.openxmlformats.org/drawingml/2006/main"/>
              <a:lstStyle xmlns:a="http://schemas.openxmlformats.org/drawingml/2006/main"/>
              <a:p xmlns:a="http://schemas.openxmlformats.org/drawingml/2006/main">
                <a:pPr>
                  <a:buNone/>
                  <a:defRPr sz="1000"/>
                </a:pPr>
                <a:r>
                  <a:rPr sz="1000"/>
                  <a:t>Número de defectos</a:t>
                </a:r>
              </a:p>
            </c:rich>
          </c:tx>
          <c:overlay val="0"/>
          <c:txPr>
            <a:bodyPr xmlns:a="http://schemas.openxmlformats.org/drawingml/2006/main" anchorCtr="1"/>
            <a:lstStyle xmlns:a="http://schemas.openxmlformats.org/drawingml/2006/main"/>
            <a:p xmlns:a="http://schemas.openxmlformats.org/drawingml/2006/main">
              <a:pPr>
                <a:defRPr sz="1000"/>
              </a:pPr>
            </a:p>
          </c:txPr>
        </c:title>
        <c:numFmt formatCode="0" sourceLinked="0"/>
        <c:majorTickMark val="none"/>
        <c:minorTickMark val="none"/>
        <c:tickLblPos val="nextTo"/>
        <c:crossAx val="10"/>
        <c:crosses val="autoZero"/>
        <c:crossBetween val="between"/>
        <c:majorUnit val="2"/>
      </c:valAx>
    </c:plotArea>
    <c:plotVisOnly val="1"/>
    <c:dispBlanksAs val="gap"/>
    <c:showDLblsOverMax val="1"/>
  </c:chart>
</c:chartSpace>
</file>

<file path=xl/drawings/charts/chart3.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Distribución de defectos por severidad</a:t>
            </a:r>
          </a:p>
        </c:rich>
      </c:tx>
      <c:overlay val="1"/>
    </c:title>
    <c:autoTitleDeleted val="0"/>
    <c:plotArea>
      <c:pieChart>
        <c:ser>
          <c:idx val="0"/>
          <c:order val="0"/>
          <c:tx>
            <c:strRef>
              <c:f>'3. Por severidad'!$C$8</c:f>
              <c:strCache>
                <c:ptCount val="1"/>
                <c:pt idx="0">
                  <c:v>Defectos</c:v>
                </c:pt>
              </c:strCache>
            </c:strRef>
          </c:tx>
          <c:spPr>
            <a:ln xmlns:a="http://schemas.openxmlformats.org/drawingml/2006/main">
              <a:prstDash val="solid"/>
            </a:ln>
          </c:spPr>
          <c:dPt>
            <c:idx val="0"/>
            <c:spPr>
              <a:solidFill xmlns:a="http://schemas.openxmlformats.org/drawingml/2006/main">
                <a:srgbClr val="C00000"/>
              </a:solidFill>
              <a:ln xmlns:a="http://schemas.openxmlformats.org/drawingml/2006/main">
                <a:solidFill>
                  <a:srgbClr val="FFFFFF"/>
                </a:solidFill>
                <a:prstDash val="solid"/>
              </a:ln>
            </c:spPr>
          </c:dPt>
          <c:dPt>
            <c:idx val="1"/>
            <c:spPr>
              <a:solidFill xmlns:a="http://schemas.openxmlformats.org/drawingml/2006/main">
                <a:srgbClr val="FF7F0E"/>
              </a:solidFill>
              <a:ln xmlns:a="http://schemas.openxmlformats.org/drawingml/2006/main">
                <a:solidFill>
                  <a:srgbClr val="FFFFFF"/>
                </a:solidFill>
                <a:prstDash val="solid"/>
              </a:ln>
            </c:spPr>
          </c:dPt>
          <c:dPt>
            <c:idx val="2"/>
            <c:spPr>
              <a:solidFill xmlns:a="http://schemas.openxmlformats.org/drawingml/2006/main">
                <a:srgbClr val="FFC000"/>
              </a:solidFill>
              <a:ln xmlns:a="http://schemas.openxmlformats.org/drawingml/2006/main">
                <a:solidFill>
                  <a:srgbClr val="FFFFFF"/>
                </a:solidFill>
                <a:prstDash val="solid"/>
              </a:ln>
            </c:spPr>
          </c:dPt>
          <c:dPt>
            <c:idx val="3"/>
            <c:spPr>
              <a:solidFill xmlns:a="http://schemas.openxmlformats.org/drawingml/2006/main">
                <a:srgbClr val="70AD47"/>
              </a:solidFill>
              <a:ln xmlns:a="http://schemas.openxmlformats.org/drawingml/2006/main">
                <a:solidFill>
                  <a:srgbClr val="FFFFFF"/>
                </a:solidFill>
                <a:prstDash val="solid"/>
              </a:ln>
            </c:spPr>
          </c:dPt>
          <c:dLbls>
            <c:numFmt formatCode="0.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100" b="1"/>
                </a:pPr>
              </a:p>
            </c:txPr>
            <c:dLblPos val="bestFit"/>
            <c:showLegendKey val="0"/>
            <c:showVal val="0"/>
            <c:showCatName val="0"/>
            <c:showSerName val="0"/>
            <c:showPercent val="1"/>
            <c:showBubbleSize val="0"/>
            <c:showLeaderLines val="0"/>
          </c:dLbls>
          <c:cat>
            <c:strRef>
              <c:f>'3. Por severidad'!$B$9:$B$12</c:f>
              <c:strCache>
                <c:ptCount val="4"/>
                <c:pt idx="0">
                  <c:v>Crítica</c:v>
                </c:pt>
                <c:pt idx="1">
                  <c:v>Alta</c:v>
                </c:pt>
                <c:pt idx="2">
                  <c:v>Media</c:v>
                </c:pt>
                <c:pt idx="3">
                  <c:v>Baja</c:v>
                </c:pt>
              </c:strCache>
            </c:strRef>
          </c:cat>
          <c:val>
            <c:numRef>
              <c:f>'3. Por severidad'!$C$9:$C$12</c:f>
              <c:numCache>
                <c:formatCode>General</c:formatCode>
                <c:ptCount val="4"/>
                <c:pt idx="0">
                  <c:v>2</c:v>
                </c:pt>
                <c:pt idx="1">
                  <c:v>6</c:v>
                </c:pt>
                <c:pt idx="2">
                  <c:v>11</c:v>
                </c:pt>
                <c:pt idx="3">
                  <c:v>8</c:v>
                </c:pt>
              </c:numCache>
            </c:numRef>
          </c:val>
        </c:ser>
        <c:dLbls>
          <c:showLegendKey val="0"/>
          <c:showVal val="0"/>
          <c:showCatName val="0"/>
          <c:showSerName val="0"/>
          <c:showPercent val="0"/>
          <c:showBubbleSize val="0"/>
          <c:showLeaderLines val="0"/>
        </c:dLbls>
        <c:firstSliceAng val="0"/>
      </c:pieChart>
    </c:plotArea>
    <c:legend>
      <c:legendPos val="b"/>
      <c:overlay val="1"/>
    </c:legend>
    <c:plotVisOnly val="1"/>
    <c:dispBlanksAs val="gap"/>
    <c:showDLblsOverMax val="1"/>
  </c:chart>
</c:chartSpace>
</file>

<file path=xl/drawings/charts/chart4.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Defectos por caso ejecutado, por plataforma</a:t>
            </a:r>
          </a:p>
        </c:rich>
      </c:tx>
      <c:overlay val="1"/>
    </c:title>
    <c:autoTitleDeleted val="0"/>
    <c:plotArea>
      <c:barChart>
        <c:barDir val="col"/>
        <c:grouping val="clustered"/>
        <c:varyColors val="1"/>
        <c:ser>
          <c:idx val="0"/>
          <c:order val="0"/>
          <c:tx>
            <c:strRef>
              <c:f>'4. Defectos por caso'!$E$9</c:f>
              <c:strCache>
                <c:ptCount val="1"/>
                <c:pt idx="0">
                  <c:v>Defectos por caso</c:v>
                </c:pt>
              </c:strCache>
            </c:strRef>
          </c:tx>
          <c:spPr>
            <a:ln xmlns:a="http://schemas.openxmlformats.org/drawingml/2006/main">
              <a:prstDash val="solid"/>
            </a:ln>
          </c:spPr>
          <c:invertIfNegative val="1"/>
          <c:dPt>
            <c:idx val="0"/>
            <c:invertIfNegative val="0"/>
            <c:spPr>
              <a:solidFill xmlns:a="http://schemas.openxmlformats.org/drawingml/2006/main">
                <a:srgbClr val="1F77B4"/>
              </a:solidFill>
              <a:ln xmlns:a="http://schemas.openxmlformats.org/drawingml/2006/main">
                <a:solidFill>
                  <a:srgbClr val="1F77B4"/>
                </a:solidFill>
                <a:prstDash val="solid"/>
              </a:ln>
            </c:spPr>
          </c:dPt>
          <c:dPt>
            <c:idx val="1"/>
            <c:invertIfNegative val="0"/>
            <c:spPr>
              <a:solidFill xmlns:a="http://schemas.openxmlformats.org/drawingml/2006/main">
                <a:srgbClr val="FF7F0E"/>
              </a:solidFill>
              <a:ln xmlns:a="http://schemas.openxmlformats.org/drawingml/2006/main">
                <a:solidFill>
                  <a:srgbClr val="FF7F0E"/>
                </a:solidFill>
                <a:prstDash val="solid"/>
              </a:ln>
            </c:spPr>
          </c:dPt>
          <c:dPt>
            <c:idx val="2"/>
            <c:invertIfNegative val="0"/>
            <c:spPr>
              <a:solidFill xmlns:a="http://schemas.openxmlformats.org/drawingml/2006/main">
                <a:srgbClr val="2CA02C"/>
              </a:solidFill>
              <a:ln xmlns:a="http://schemas.openxmlformats.org/drawingml/2006/main">
                <a:solidFill>
                  <a:srgbClr val="2CA02C"/>
                </a:solidFill>
                <a:prstDash val="solid"/>
              </a:ln>
            </c:spPr>
          </c:dPt>
          <c:dLbls>
            <c:spPr>
              <a:noFill xmlns:a="http://schemas.openxmlformats.org/drawingml/2006/main"/>
              <a:ln xmlns:a="http://schemas.openxmlformats.org/drawingml/2006/main">
                <a:noFill/>
              </a:ln>
            </c:spPr>
            <c:showLegendKey val="0"/>
            <c:showVal val="1"/>
            <c:showCatName val="0"/>
            <c:showSerName val="0"/>
            <c:showPercent val="1"/>
            <c:showBubbleSize val="1"/>
            <c:showLeaderLines val="0"/>
          </c:dLbls>
          <c:cat>
            <c:strRef>
              <c:f>'4. Defectos por caso'!$B$10:$B$12</c:f>
              <c:strCache>
                <c:ptCount val="3"/>
                <c:pt idx="0">
                  <c:v>Web</c:v>
                </c:pt>
                <c:pt idx="1">
                  <c:v>API</c:v>
                </c:pt>
                <c:pt idx="2">
                  <c:v>Móvil</c:v>
                </c:pt>
              </c:strCache>
            </c:strRef>
          </c:cat>
          <c:val>
            <c:numRef>
              <c:f>'4. Defectos por caso'!$E$10:$E$12</c:f>
              <c:numCache>
                <c:formatCode>0.00</c:formatCode>
                <c:ptCount val="3"/>
                <c:pt idx="0">
                  <c:v>0.225</c:v>
                </c:pt>
                <c:pt idx="1">
                  <c:v>0.23333333333333334</c:v>
                </c:pt>
                <c:pt idx="2">
                  <c:v>0.2894736842105263</c:v>
                </c:pt>
              </c:numCache>
            </c:numRef>
          </c:val>
        </c:ser>
        <c:dLbls>
          <c:showLegendKey val="0"/>
          <c:showVal val="0"/>
          <c:showCatName val="0"/>
          <c:showSerName val="0"/>
          <c:showPercent val="0"/>
          <c:showBubbleSize val="0"/>
          <c:showLeaderLines val="0"/>
        </c:dLbls>
        <c:gapWidth val="80"/>
        <c:axId val="10"/>
        <c:axId val="100"/>
      </c:barChart>
      <c:catAx>
        <c:axId val="10"/>
        <c:scaling>
          <c:orientation val="minMax"/>
        </c:scaling>
        <c:delete val="0"/>
        <c:axPos val="b"/>
        <c:title>
          <c:tx>
            <c:rich>
              <a:bodyPr xmlns:a="http://schemas.openxmlformats.org/drawingml/2006/main"/>
              <a:lstStyle xmlns:a="http://schemas.openxmlformats.org/drawingml/2006/main"/>
              <a:p xmlns:a="http://schemas.openxmlformats.org/drawingml/2006/main">
                <a:pPr>
                  <a:buNone/>
                  <a:defRPr sz="1000"/>
                </a:pPr>
                <a:r>
                  <a:rPr sz="1000"/>
                  <a:t>Plataforma</a:t>
                </a:r>
              </a:p>
            </c:rich>
          </c:tx>
          <c:overlay val="0"/>
          <c:txPr>
            <a:bodyPr xmlns:a="http://schemas.openxmlformats.org/drawingml/2006/main" anchorCtr="1"/>
            <a:lstStyle xmlns:a="http://schemas.openxmlformats.org/drawingml/2006/main"/>
            <a:p xmlns:a="http://schemas.openxmlformats.org/drawingml/2006/main">
              <a:pPr>
                <a:defRPr sz="1000"/>
              </a:pPr>
            </a:p>
          </c:txPr>
        </c:title>
        <c:numFmt formatCode="General" sourceLinked="1"/>
        <c:majorTickMark val="none"/>
        <c:minorTickMark val="none"/>
        <c:tickLblPos val="nextTo"/>
        <c:crossAx val="100"/>
        <c:crosses val="autoZero"/>
        <c:lblAlgn val="ctr"/>
        <c:noMultiLvlLbl val="1"/>
        <c:lblOffset val="100"/>
      </c:catAx>
      <c:valAx>
        <c:axId val="100"/>
        <c:scaling>
          <c:orientation val="minMax"/>
          <c:max val="0.4"/>
          <c:min val="0"/>
        </c:scaling>
        <c:delete val="0"/>
        <c:axPos val="l"/>
        <c:title>
          <c:tx>
            <c:rich>
              <a:bodyPr xmlns:a="http://schemas.openxmlformats.org/drawingml/2006/main"/>
              <a:lstStyle xmlns:a="http://schemas.openxmlformats.org/drawingml/2006/main"/>
              <a:p xmlns:a="http://schemas.openxmlformats.org/drawingml/2006/main">
                <a:pPr>
                  <a:buNone/>
                  <a:defRPr sz="1000"/>
                </a:pPr>
                <a:r>
                  <a:rPr sz="1000"/>
                  <a:t>Defectos por caso</a:t>
                </a:r>
              </a:p>
            </c:rich>
          </c:tx>
          <c:overlay val="0"/>
          <c:txPr>
            <a:bodyPr xmlns:a="http://schemas.openxmlformats.org/drawingml/2006/main" anchorCtr="1"/>
            <a:lstStyle xmlns:a="http://schemas.openxmlformats.org/drawingml/2006/main"/>
            <a:p xmlns:a="http://schemas.openxmlformats.org/drawingml/2006/main">
              <a:pPr>
                <a:defRPr sz="1000"/>
              </a:pPr>
            </a:p>
          </c:txPr>
        </c:title>
        <c:numFmt formatCode="0.0" sourceLinked="0"/>
        <c:majorTickMark val="none"/>
        <c:minorTickMark val="none"/>
        <c:tickLblPos val="nextTo"/>
        <c:crossAx val="10"/>
        <c:crosses val="autoZero"/>
        <c:crossBetween val="between"/>
        <c:majorUnit val="0.1"/>
      </c:valAx>
    </c:plotArea>
    <c:plotVisOnly val="1"/>
    <c:dispBlanksAs val="gap"/>
    <c:showDLblsOverMax val="1"/>
  </c:chart>
</c:chartSpace>
</file>

<file path=xl/drawings/charts/chart5.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Cobertura de historias de usuario</a:t>
            </a:r>
          </a:p>
        </c:rich>
      </c:tx>
      <c:overlay val="1"/>
    </c:title>
    <c:autoTitleDeleted val="0"/>
    <c:plotArea>
      <c:pieChart>
        <c:ser>
          <c:idx val="0"/>
          <c:order val="0"/>
          <c:tx>
            <c:strRef>
              <c:f>'5. Cobertura'!$C$9</c:f>
              <c:strCache>
                <c:ptCount val="1"/>
                <c:pt idx="0">
                  <c:v>Cantidad</c:v>
                </c:pt>
              </c:strCache>
            </c:strRef>
          </c:tx>
          <c:spPr>
            <a:ln xmlns:a="http://schemas.openxmlformats.org/drawingml/2006/main">
              <a:prstDash val="solid"/>
            </a:ln>
          </c:spPr>
          <c:dPt>
            <c:idx val="0"/>
            <c:spPr>
              <a:solidFill xmlns:a="http://schemas.openxmlformats.org/drawingml/2006/main">
                <a:srgbClr val="2E75B6"/>
              </a:solidFill>
              <a:ln xmlns:a="http://schemas.openxmlformats.org/drawingml/2006/main">
                <a:solidFill>
                  <a:srgbClr val="FFFFFF"/>
                </a:solidFill>
                <a:prstDash val="solid"/>
              </a:ln>
            </c:spPr>
          </c:dPt>
          <c:dPt>
            <c:idx val="1"/>
            <c:spPr>
              <a:solidFill xmlns:a="http://schemas.openxmlformats.org/drawingml/2006/main">
                <a:srgbClr val="FFC000"/>
              </a:solidFill>
              <a:ln xmlns:a="http://schemas.openxmlformats.org/drawingml/2006/main">
                <a:solidFill>
                  <a:srgbClr val="FFFFFF"/>
                </a:solidFill>
                <a:prstDash val="solid"/>
              </a:ln>
            </c:spPr>
          </c:dPt>
          <c:dLbls>
            <c:numFmt formatCode="0.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100" b="1"/>
                </a:pPr>
              </a:p>
            </c:txPr>
            <c:dLblPos val="bestFit"/>
            <c:showLegendKey val="0"/>
            <c:showVal val="0"/>
            <c:showCatName val="0"/>
            <c:showSerName val="0"/>
            <c:showPercent val="1"/>
            <c:showBubbleSize val="0"/>
            <c:showLeaderLines val="0"/>
          </c:dLbls>
          <c:cat>
            <c:strRef>
              <c:f>'5. Cobertura'!$B$10:$B$11</c:f>
              <c:strCache>
                <c:ptCount val="2"/>
                <c:pt idx="0">
                  <c:v>Probadas</c:v>
                </c:pt>
                <c:pt idx="1">
                  <c:v>Sin probar</c:v>
                </c:pt>
              </c:strCache>
            </c:strRef>
          </c:cat>
          <c:val>
            <c:numRef>
              <c:f>'5. Cobertura'!$C$10:$C$11</c:f>
              <c:numCache>
                <c:formatCode>General</c:formatCode>
                <c:ptCount val="2"/>
                <c:pt idx="0">
                  <c:v>44</c:v>
                </c:pt>
                <c:pt idx="1">
                  <c:v>4</c:v>
                </c:pt>
              </c:numCache>
            </c:numRef>
          </c:val>
        </c:ser>
        <c:dLbls>
          <c:showLegendKey val="0"/>
          <c:showVal val="0"/>
          <c:showCatName val="0"/>
          <c:showSerName val="0"/>
          <c:showPercent val="0"/>
          <c:showBubbleSize val="0"/>
          <c:showLeaderLines val="0"/>
        </c:dLbls>
        <c:firstSliceAng val="0"/>
      </c:pieChart>
    </c:plotArea>
    <c:legend>
      <c:legendPos val="b"/>
      <c:overlay val="1"/>
    </c:legend>
    <c:plotVisOnly val="1"/>
    <c:dispBlanksAs val="gap"/>
    <c:showDLblsOverMax val="1"/>
  </c:chart>
</c:chartSpace>
</file>

<file path=xl/drawings/charts/chart6.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t>Estado de los defectos reportados</a:t>
            </a:r>
          </a:p>
        </c:rich>
      </c:tx>
      <c:overlay val="1"/>
    </c:title>
    <c:autoTitleDeleted val="0"/>
    <c:plotArea>
      <c:pieChart>
        <c:ser>
          <c:idx val="0"/>
          <c:order val="0"/>
          <c:tx>
            <c:strRef>
              <c:f>'6. Re-prueba'!$C$9</c:f>
              <c:strCache>
                <c:ptCount val="1"/>
                <c:pt idx="0">
                  <c:v>Cantidad</c:v>
                </c:pt>
              </c:strCache>
            </c:strRef>
          </c:tx>
          <c:spPr>
            <a:ln xmlns:a="http://schemas.openxmlformats.org/drawingml/2006/main">
              <a:prstDash val="solid"/>
            </a:ln>
          </c:spPr>
          <c:dPt>
            <c:idx val="0"/>
            <c:spPr>
              <a:solidFill xmlns:a="http://schemas.openxmlformats.org/drawingml/2006/main">
                <a:srgbClr val="70AD47"/>
              </a:solidFill>
              <a:ln xmlns:a="http://schemas.openxmlformats.org/drawingml/2006/main">
                <a:solidFill>
                  <a:srgbClr val="FFFFFF"/>
                </a:solidFill>
                <a:prstDash val="solid"/>
              </a:ln>
            </c:spPr>
          </c:dPt>
          <c:dPt>
            <c:idx val="1"/>
            <c:spPr>
              <a:solidFill xmlns:a="http://schemas.openxmlformats.org/drawingml/2006/main">
                <a:srgbClr val="C00000"/>
              </a:solidFill>
              <a:ln xmlns:a="http://schemas.openxmlformats.org/drawingml/2006/main">
                <a:solidFill>
                  <a:srgbClr val="FFFFFF"/>
                </a:solidFill>
                <a:prstDash val="solid"/>
              </a:ln>
            </c:spPr>
          </c:dPt>
          <c:dLbls>
            <c:numFmt formatCode="0.0%" sourceLinked="0"/>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1100" b="1"/>
                </a:pPr>
              </a:p>
            </c:txPr>
            <c:dLblPos val="bestFit"/>
            <c:showLegendKey val="0"/>
            <c:showVal val="0"/>
            <c:showCatName val="0"/>
            <c:showSerName val="0"/>
            <c:showPercent val="1"/>
            <c:showBubbleSize val="0"/>
            <c:showLeaderLines val="0"/>
          </c:dLbls>
          <c:cat>
            <c:strRef>
              <c:f>'6. Re-prueba'!$B$10:$B$11</c:f>
              <c:strCache>
                <c:ptCount val="2"/>
                <c:pt idx="0">
                  <c:v>Corregidos y verificados</c:v>
                </c:pt>
                <c:pt idx="1">
                  <c:v>Abiertos</c:v>
                </c:pt>
              </c:strCache>
            </c:strRef>
          </c:cat>
          <c:val>
            <c:numRef>
              <c:f>'6. Re-prueba'!$C$10:$C$11</c:f>
              <c:numCache>
                <c:formatCode>General</c:formatCode>
                <c:ptCount val="2"/>
                <c:pt idx="0">
                  <c:v>23</c:v>
                </c:pt>
                <c:pt idx="1">
                  <c:v>4</c:v>
                </c:pt>
              </c:numCache>
            </c:numRef>
          </c:val>
        </c:ser>
        <c:dLbls>
          <c:showLegendKey val="0"/>
          <c:showVal val="0"/>
          <c:showCatName val="0"/>
          <c:showSerName val="0"/>
          <c:showPercent val="0"/>
          <c:showBubbleSize val="0"/>
          <c:showLeaderLines val="0"/>
        </c:dLbls>
        <c:firstSliceAng val="0"/>
      </c:pieChart>
    </c:plotArea>
    <c:legend>
      <c:legendPos val="b"/>
      <c:overlay val="1"/>
    </c:legend>
    <c:plotVisOnly val="1"/>
    <c:dispBlanksAs val="gap"/>
    <c:showDLblsOverMax val="1"/>
  </c:chart>
</c:chartSpace>
</file>

<file path=xl/drawings/drawing1.xml><?xml version="1.0" encoding="utf-8"?>
<xdr:wsDr xmlns:xdr="http://schemas.openxmlformats.org/drawingml/2006/spreadsheetDrawing">
  <xdr:oneCellAnchor>
    <xdr:from>
      <xdr:col>5</xdr:col>
      <xdr:colOff>0</xdr:colOff>
      <xdr:row>7</xdr:row>
      <xdr:rowOff>0</xdr:rowOff>
    </xdr:from>
    <xdr:ext cx="5400000" cy="306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4178cff46f48c4"/>
        </a:graphicData>
      </a:graphic>
    </xdr:graphicFrame>
    <xdr:clientData/>
  </xdr:oneCellAnchor>
</xdr:wsDr>
</file>

<file path=xl/drawings/drawing2.xml><?xml version="1.0" encoding="utf-8"?>
<xdr:wsDr xmlns:xdr="http://schemas.openxmlformats.org/drawingml/2006/spreadsheetDrawing">
  <xdr:oneCellAnchor>
    <xdr:from>
      <xdr:col>5</xdr:col>
      <xdr:colOff>0</xdr:colOff>
      <xdr:row>6</xdr:row>
      <xdr:rowOff>0</xdr:rowOff>
    </xdr:from>
    <xdr:ext cx="5400000" cy="306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2848c7e630467e"/>
        </a:graphicData>
      </a:graphic>
    </xdr:graphicFrame>
    <xdr:clientData/>
  </xdr:oneCellAnchor>
</xdr:wsDr>
</file>

<file path=xl/drawings/drawing3.xml><?xml version="1.0" encoding="utf-8"?>
<xdr:wsDr xmlns:xdr="http://schemas.openxmlformats.org/drawingml/2006/spreadsheetDrawing">
  <xdr:oneCellAnchor>
    <xdr:from>
      <xdr:col>5</xdr:col>
      <xdr:colOff>0</xdr:colOff>
      <xdr:row>6</xdr:row>
      <xdr:rowOff>0</xdr:rowOff>
    </xdr:from>
    <xdr:ext cx="5400000" cy="306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6b4b11b91748b7"/>
        </a:graphicData>
      </a:graphic>
    </xdr:graphicFrame>
    <xdr:clientData/>
  </xdr:oneCellAnchor>
</xdr:wsDr>
</file>

<file path=xl/drawings/drawing4.xml><?xml version="1.0" encoding="utf-8"?>
<xdr:wsDr xmlns:xdr="http://schemas.openxmlformats.org/drawingml/2006/spreadsheetDrawing">
  <xdr:oneCellAnchor>
    <xdr:from>
      <xdr:col>6</xdr:col>
      <xdr:colOff>0</xdr:colOff>
      <xdr:row>6</xdr:row>
      <xdr:rowOff>0</xdr:rowOff>
    </xdr:from>
    <xdr:ext cx="5400000" cy="306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7fa951ea7645dc"/>
        </a:graphicData>
      </a:graphic>
    </xdr:graphicFrame>
    <xdr:clientData/>
  </xdr:oneCellAnchor>
</xdr:wsDr>
</file>

<file path=xl/drawings/drawing5.xml><?xml version="1.0" encoding="utf-8"?>
<xdr:wsDr xmlns:xdr="http://schemas.openxmlformats.org/drawingml/2006/spreadsheetDrawing">
  <xdr:oneCellAnchor>
    <xdr:from>
      <xdr:col>5</xdr:col>
      <xdr:colOff>0</xdr:colOff>
      <xdr:row>7</xdr:row>
      <xdr:rowOff>0</xdr:rowOff>
    </xdr:from>
    <xdr:ext cx="5400000" cy="306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e1b12e45344f6c"/>
        </a:graphicData>
      </a:graphic>
    </xdr:graphicFrame>
    <xdr:clientData/>
  </xdr:oneCellAnchor>
</xdr:wsDr>
</file>

<file path=xl/drawings/drawing6.xml><?xml version="1.0" encoding="utf-8"?>
<xdr:wsDr xmlns:xdr="http://schemas.openxmlformats.org/drawingml/2006/spreadsheetDrawing">
  <xdr:oneCellAnchor>
    <xdr:from>
      <xdr:col>5</xdr:col>
      <xdr:colOff>0</xdr:colOff>
      <xdr:row>7</xdr:row>
      <xdr:rowOff>0</xdr:rowOff>
    </xdr:from>
    <xdr:ext cx="5400000" cy="306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f27891d96f4d0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b63f8b011814175" /></Relationships>
</file>

<file path=xl/worksheets/_rels/sheet3.xml.rels>&#65279;<?xml version="1.0" encoding="utf-8"?><Relationships xmlns="http://schemas.openxmlformats.org/package/2006/relationships"><Relationship Type="http://schemas.openxmlformats.org/officeDocument/2006/relationships/drawing" Target="/xl/drawings/drawing2.xml" Id="Rb10f5793b0eb4152" /></Relationships>
</file>

<file path=xl/worksheets/_rels/sheet4.xml.rels>&#65279;<?xml version="1.0" encoding="utf-8"?><Relationships xmlns="http://schemas.openxmlformats.org/package/2006/relationships"><Relationship Type="http://schemas.openxmlformats.org/officeDocument/2006/relationships/drawing" Target="/xl/drawings/drawing3.xml" Id="R4b739bd82ea448e7" /></Relationships>
</file>

<file path=xl/worksheets/_rels/sheet5.xml.rels>&#65279;<?xml version="1.0" encoding="utf-8"?><Relationships xmlns="http://schemas.openxmlformats.org/package/2006/relationships"><Relationship Type="http://schemas.openxmlformats.org/officeDocument/2006/relationships/drawing" Target="/xl/drawings/drawing4.xml" Id="Rc5ce16cfbbe443b5" /></Relationships>
</file>

<file path=xl/worksheets/_rels/sheet6.xml.rels>&#65279;<?xml version="1.0" encoding="utf-8"?><Relationships xmlns="http://schemas.openxmlformats.org/package/2006/relationships"><Relationship Type="http://schemas.openxmlformats.org/officeDocument/2006/relationships/drawing" Target="/xl/drawings/drawing5.xml" Id="R512ddf109b5f4e0c" /></Relationships>
</file>

<file path=xl/worksheets/_rels/sheet7.xml.rels>&#65279;<?xml version="1.0" encoding="utf-8"?><Relationships xmlns="http://schemas.openxmlformats.org/package/2006/relationships"><Relationship Type="http://schemas.openxmlformats.org/officeDocument/2006/relationships/drawing" Target="/xl/drawings/drawing6.xml" Id="R3d8688a31a10467b" /></Relationships>
</file>

<file path=xl/worksheets/sheet1.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6" customWidth="1"/>
    <x:col min="3" max="3" width="44" customWidth="1"/>
    <x:col min="4" max="4" width="22" customWidth="1"/>
    <x:col min="5" max="5" width="26.77734375" customWidth="1"/>
    <x:col min="6" max="6" width="18" customWidth="1"/>
    <x:col min="7" max="12" width="11" customWidth="1"/>
  </x:cols>
  <x:sheetData>
    <x:row r="2" ht="24" customHeight="1">
      <x:c r="B2" s="18" t="s">
        <x:v>0</x:v>
      </x:c>
      <x:c r="C2" s="17"/>
      <x:c r="D2" s="17"/>
      <x:c r="E2" s="17"/>
      <x:c r="F2" s="17"/>
      <x:c r="G2" s="17"/>
      <x:c r="H2" s="17"/>
    </x:row>
    <x:row r="3">
      <x:c r="B3" s="16" t="s">
        <x:v>1</x:v>
      </x:c>
      <x:c r="C3" s="17"/>
      <x:c r="D3" s="17"/>
      <x:c r="E3" s="17"/>
      <x:c r="F3" s="17"/>
      <x:c r="G3" s="17"/>
      <x:c r="H3" s="17"/>
    </x:row>
    <x:row r="4">
      <x:c r="B4" s="16" t="s">
        <x:v>2</x:v>
      </x:c>
      <x:c r="C4" s="17"/>
      <x:c r="D4" s="17"/>
      <x:c r="E4" s="17"/>
      <x:c r="F4" s="17"/>
      <x:c r="G4" s="17"/>
      <x:c r="H4" s="17"/>
    </x:row>
    <x:row r="5">
      <x:c r="B5" s="16" t="s">
        <x:v>3</x:v>
      </x:c>
      <x:c r="C5" s="17"/>
      <x:c r="D5" s="17"/>
      <x:c r="E5" s="17"/>
      <x:c r="F5" s="17"/>
      <x:c r="G5" s="17"/>
      <x:c r="H5" s="17"/>
    </x:row>
    <x:row r="7">
      <x:c r="B7" s="1" t="s">
        <x:v>4</x:v>
      </x:c>
      <x:c r="C7" s="1" t="s">
        <x:v>5</x:v>
      </x:c>
      <x:c r="D7" s="1" t="s">
        <x:v>6</x:v>
      </x:c>
      <x:c r="E7" s="1" t="s">
        <x:v>7</x:v>
      </x:c>
      <x:c r="F7" s="1" t="s">
        <x:v>8</x:v>
      </x:c>
    </x:row>
    <x:row r="8">
      <x:c r="B8" s="2">
        <x:v>1</x:v>
      </x:c>
      <x:c r="C8" s="3" t="inlineStr">
        <x:is>
          <x:t xml:space="preserve">Porcentaje de casos de prueba aprobados</x:t>
        </x:is>
      </x:c>
      <x:c r="D8" s="20">
        <x:f>'1. Aprobación'!C16</x:f>
        <x:v>0.7962962962962963</x:v>
      </x:c>
      <x:c r="E8" s="3" t="inlineStr">
        <x:is>
          <x:t xml:space="preserve">casos aprobados</x:t>
        </x:is>
      </x:c>
      <x:c r="F8" s="2" t="s">
        <x:v>9</x:v>
      </x:c>
    </x:row>
    <x:row r="9">
      <x:c r="B9" s="2">
        <x:v>2</x:v>
      </x:c>
      <x:c r="C9" s="3" t="s">
        <x:v>10</x:v>
      </x:c>
      <x:c r="D9" s="5">
        <x:f>'2. Por plataforma'!C12</x:f>
        <x:v>27</x:v>
      </x:c>
      <x:c r="E9" s="3" t="s">
        <x:v>11</x:v>
      </x:c>
      <x:c r="F9" s="2" t="s">
        <x:v>9</x:v>
      </x:c>
    </x:row>
    <x:row r="10">
      <x:c r="B10" s="2">
        <x:v>3</x:v>
      </x:c>
      <x:c r="C10" s="3" t="s">
        <x:v>12</x:v>
      </x:c>
      <x:c r="D10" s="6">
        <x:f>'3. Por severidad'!D9+'3. Por severidad'!D10</x:f>
        <x:v>0.29629629629629628</x:v>
      </x:c>
      <x:c r="E10" s="3" t="s">
        <x:v>13</x:v>
      </x:c>
      <x:c r="F10" s="2" t="s">
        <x:v>14</x:v>
      </x:c>
    </x:row>
    <x:row r="11">
      <x:c r="B11" s="2">
        <x:v>4</x:v>
      </x:c>
      <x:c r="C11" s="3" t="s">
        <x:v>15</x:v>
      </x:c>
      <x:c r="D11" s="7">
        <x:f>'4. Defectos por caso'!E13</x:f>
        <x:v>0.25</x:v>
      </x:c>
      <x:c r="E11" s="3" t="s">
        <x:v>16</x:v>
      </x:c>
      <x:c r="F11" s="2" t="s">
        <x:v>9</x:v>
      </x:c>
    </x:row>
    <x:row r="12">
      <x:c r="B12" s="2">
        <x:v>5</x:v>
      </x:c>
      <x:c r="C12" s="3" t="s">
        <x:v>17</x:v>
      </x:c>
      <x:c r="D12" s="6">
        <x:f>'5. Cobertura'!D10</x:f>
        <x:v>0.91666666666666663</x:v>
      </x:c>
      <x:c r="E12" s="3" t="s">
        <x:v>18</x:v>
      </x:c>
      <x:c r="F12" s="2" t="s">
        <x:v>14</x:v>
      </x:c>
    </x:row>
    <x:row r="13">
      <x:c r="B13" s="2">
        <x:v>6</x:v>
      </x:c>
      <x:c r="C13" s="3" t="s">
        <x:v>19</x:v>
      </x:c>
      <x:c r="D13" s="6">
        <x:f>'6. Re-prueba'!D10</x:f>
        <x:v>0.85185185185185186</x:v>
      </x:c>
      <x:c r="E13" s="3" t="s">
        <x:v>20</x:v>
      </x:c>
      <x:c r="F13" s="2" t="s">
        <x:v>14</x:v>
      </x:c>
    </x:row>
    <x:row r="15">
      <x:c r="B15" s="19" t="s">
        <x:v>21</x:v>
      </x:c>
      <x:c r="C15" s="17"/>
      <x:c r="D15" s="17"/>
      <x:c r="E15" s="17"/>
      <x:c r="F15" s="17"/>
      <x:c r="G15" s="17"/>
      <x:c r="H15" s="17"/>
    </x:row>
    <x:row r="16" ht="91.94999694824219" customHeight="1">
      <x:c r="B16" s="16" t="inlineStr">
        <x:is>
          <x:t xml:space="preserve">En el escenario ficticio se ejecutaron 108 casos manuales y se reportaron 27 defectos. Se aprobaron 86 casos (79,6 %) y 22 fallaron. El móvil presentó más defectos por caso (0,289), seguido de la API (0,233) y la web (0,225). La cobertura fue del 91,7 %. Se verificó la corrección de 23 defectos (85,2 %); quedan 4 abiertos. Su severidad debe revisarse antes de decidir la entrega.</x:t>
        </x:is>
      </x:c>
      <x:c r="C16" s="17"/>
      <x:c r="D16" s="17"/>
      <x:c r="E16" s="17"/>
      <x:c r="F16" s="17"/>
      <x:c r="G16" s="17"/>
      <x:c r="H16" s="17"/>
    </x:row>
  </x:sheetData>
  <x:mergeCells>
    <x:mergeCell ref="B4:H4"/>
    <x:mergeCell ref="B2:H2"/>
    <x:mergeCell ref="B16:H16"/>
    <x:mergeCell ref="B15:H15"/>
    <x:mergeCell ref="B3:H3"/>
    <x:mergeCell ref="B5:H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34" customWidth="1"/>
    <x:col min="3" max="4" width="16" customWidth="1"/>
    <x:col min="5" max="12" width="11" customWidth="1"/>
  </x:cols>
  <x:sheetData>
    <x:row r="2" ht="24" customHeight="1">
      <x:c r="B2" s="18" t="inlineStr">
        <x:is>
          <x:t xml:space="preserve">Métrica 1: Porcentaje de casos de prueba aprobados</x:t>
        </x:is>
      </x:c>
      <x:c r="C2" s="17"/>
      <x:c r="D2" s="17"/>
      <x:c r="E2" s="17"/>
      <x:c r="F2" s="17"/>
      <x:c r="G2" s="17"/>
      <x:c r="H2" s="17"/>
      <x:c r="I2" s="17"/>
      <x:c r="J2" s="17"/>
      <x:c r="K2" s="17"/>
      <x:c r="L2" s="17"/>
    </x:row>
    <x:row r="4">
      <x:c r="B4" s="8" t="s">
        <x:v>22</x:v>
      </x:c>
    </x:row>
    <x:row r="5" ht="61.95000076293945" customHeight="1">
      <x:c r="B5" s="16" t="inlineStr">
        <x:is>
          <x:t xml:space="preserve">Porcentaje de casos manuales ejecutados cuyo resultado observado cumple el esperado. Se cuenta cada caso una vez con su último resultado del ciclo. Para obtenerlo basta registrar si cada caso fue aprobado o fallido; los bloqueados y no ejecutados se excluyen y se registran por separado.</x:t>
        </x:is>
      </x:c>
      <x:c r="C5" s="17"/>
      <x:c r="D5" s="17"/>
      <x:c r="E5" s="17"/>
      <x:c r="F5" s="17"/>
      <x:c r="G5" s="17"/>
      <x:c r="H5" s="17"/>
      <x:c r="I5" s="17"/>
      <x:c r="J5" s="17"/>
      <x:c r="K5" s="17"/>
      <x:c r="L5" s="17"/>
    </x:row>
    <x:row r="6">
      <x:c r="B6" s="16" t="inlineStr">
        <x:is>
          <x:t xml:space="preserve">Fórmula: casos aprobados ÷ casos ejecutados con resultado aprobado o fallido × 100</x:t>
        </x:is>
      </x:c>
      <x:c r="C6" s="17"/>
      <x:c r="D6" s="17"/>
      <x:c r="E6" s="17"/>
      <x:c r="F6" s="17"/>
      <x:c r="G6" s="17"/>
      <x:c r="H6" s="17"/>
      <x:c r="I6" s="17"/>
      <x:c r="J6" s="17"/>
      <x:c r="K6" s="17"/>
      <x:c r="L6" s="17"/>
    </x:row>
    <x:row r="8">
      <x:c r="B8" s="8" t="s">
        <x:v>23</x:v>
      </x:c>
    </x:row>
    <x:row r="9" ht="27.600000381469727">
      <x:c r="B9" s="9" t="inlineStr">
        <x:is>
          <x:t xml:space="preserve">Resultado del caso</x:t>
        </x:is>
      </x:c>
      <x:c r="C9" s="9" t="inlineStr">
        <x:is>
          <x:t xml:space="preserve">Cantidad</x:t>
        </x:is>
      </x:c>
      <x:c r="D9" s="9" t="s">
        <x:v>24</x:v>
      </x:c>
    </x:row>
    <x:row r="10">
      <x:c r="B10" s="3" t="inlineStr">
        <x:is>
          <x:t xml:space="preserve">Aprobados</x:t>
        </x:is>
      </x:c>
      <x:c r="C10" s="2">
        <x:v>86</x:v>
      </x:c>
      <x:c r="D10" s="6">
        <x:f>C10/$C$15</x:f>
        <x:v>0.18518518518518517</x:v>
      </x:c>
    </x:row>
    <x:row r="11">
      <x:c r="B11" s="3" t="inlineStr">
        <x:is>
          <x:t xml:space="preserve">Fallidos</x:t>
        </x:is>
      </x:c>
      <x:c r="C11" s="2">
        <x:v>22</x:v>
      </x:c>
      <x:c r="D11" s="6">
        <x:f>C11/$C$15</x:f>
        <x:v>0.23148148148148148</x:v>
      </x:c>
    </x:row>
    <x:row r="12">
      <x:c r="B12" s="3"/>
      <x:c r="C12" s="2"/>
      <x:c r="D12" s="6"/>
    </x:row>
    <x:row r="13">
      <x:c r="B13" s="3"/>
      <x:c r="C13" s="2"/>
      <x:c r="D13" s="6"/>
    </x:row>
    <x:row r="14">
      <x:c r="B14" s="3"/>
      <x:c r="C14" s="2"/>
      <x:c r="D14" s="6"/>
    </x:row>
    <x:row r="15">
      <x:c r="B15" s="10" t="s">
        <x:v>25</x:v>
      </x:c>
      <x:c r="C15" s="11">
        <x:f>SUM(C10:C11)</x:f>
        <x:v>108</x:v>
      </x:c>
      <x:c r="D15" s="12">
        <x:f>SUM(D10:D11)</x:f>
        <x:v>1</x:v>
      </x:c>
    </x:row>
    <x:row r="16">
      <x:c r="B16" s="10" t="inlineStr">
        <x:is>
          <x:t xml:space="preserve">Porcentaje aprobado</x:t>
        </x:is>
      </x:c>
      <x:c r="C16" s="21">
        <x:f>C10/C15</x:f>
        <x:v>0.7962962962962963</x:v>
      </x:c>
    </x:row>
    <x:row r="27">
      <x:c r="B27" s="8" t="s">
        <x:v>26</x:v>
      </x:c>
    </x:row>
    <x:row r="28" ht="48" customHeight="1">
      <x:c r="B28" s="16" t="inlineStr">
        <x:is>
          <x:t xml:space="preserve">Se aprobaron 86 de 108 casos ejecutados (79,6 %); 22 fallaron (20,4 %). Los casos fallidos no equivalen al número de defectos, pues un caso puede revelar varios. Para obtener la métrica real, registre los resultados y vuelva a probar los casos fallidos después de corregirlos.</x:t>
        </x:is>
      </x:c>
      <x:c r="C28" s="17"/>
      <x:c r="D28" s="17"/>
      <x:c r="E28" s="17"/>
      <x:c r="F28" s="17"/>
      <x:c r="G28" s="17"/>
      <x:c r="H28" s="17"/>
      <x:c r="I28" s="17"/>
      <x:c r="J28" s="17"/>
      <x:c r="K28" s="17"/>
      <x:c r="L28" s="17"/>
    </x:row>
  </x:sheetData>
  <x:mergeCells>
    <x:mergeCell ref="B2:L2"/>
    <x:mergeCell ref="B28:L28"/>
    <x:mergeCell ref="B5:L5"/>
    <x:mergeCell ref="B6:L6"/>
  </x:mergeCells>
  <x:pageMargins left="0.7" right="0.7" top="0.75" bottom="0.75" header="0.3" footer="0.3"/>
  <x:drawing xmlns:r="http://schemas.openxmlformats.org/officeDocument/2006/relationships" r:id="R1b63f8b011814175"/>
</x:worksheet>
</file>

<file path=xl/worksheets/sheet3.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34" customWidth="1"/>
    <x:col min="3" max="4" width="16" customWidth="1"/>
    <x:col min="5" max="12" width="11" customWidth="1"/>
  </x:cols>
  <x:sheetData>
    <x:row r="2" ht="24" customHeight="1">
      <x:c r="B2" s="18" t="s">
        <x:v>27</x:v>
      </x:c>
      <x:c r="C2" s="17"/>
      <x:c r="D2" s="17"/>
      <x:c r="E2" s="17"/>
      <x:c r="F2" s="17"/>
      <x:c r="G2" s="17"/>
      <x:c r="H2" s="17"/>
      <x:c r="I2" s="17"/>
      <x:c r="J2" s="17"/>
      <x:c r="K2" s="17"/>
      <x:c r="L2" s="17"/>
    </x:row>
    <x:row r="4">
      <x:c r="B4" s="8" t="s">
        <x:v>22</x:v>
      </x:c>
    </x:row>
    <x:row r="5" ht="61.95000076293945" customHeight="1">
      <x:c r="B5" s="16" t="s">
        <x:v>28</x:v>
      </x:c>
      <x:c r="C5" s="17"/>
      <x:c r="D5" s="17"/>
      <x:c r="E5" s="17"/>
      <x:c r="F5" s="17"/>
      <x:c r="G5" s="17"/>
      <x:c r="H5" s="17"/>
      <x:c r="I5" s="17"/>
      <x:c r="J5" s="17"/>
      <x:c r="K5" s="17"/>
      <x:c r="L5" s="17"/>
    </x:row>
    <x:row r="7">
      <x:c r="B7" s="8" t="s">
        <x:v>23</x:v>
      </x:c>
    </x:row>
    <x:row r="8">
      <x:c r="B8" s="9" t="s">
        <x:v>29</x:v>
      </x:c>
      <x:c r="C8" s="9" t="s">
        <x:v>30</x:v>
      </x:c>
      <x:c r="D8" s="9" t="s">
        <x:v>24</x:v>
      </x:c>
    </x:row>
    <x:row r="9">
      <x:c r="B9" s="3" t="s">
        <x:v>31</x:v>
      </x:c>
      <x:c r="C9" s="2">
        <x:v>9</x:v>
      </x:c>
      <x:c r="D9" s="6">
        <x:f>C9/$C$12</x:f>
        <x:v>0.33333333333333331</x:v>
      </x:c>
    </x:row>
    <x:row r="10">
      <x:c r="B10" s="3" t="s">
        <x:v>32</x:v>
      </x:c>
      <x:c r="C10" s="2">
        <x:v>7</x:v>
      </x:c>
      <x:c r="D10" s="6">
        <x:f>C10/$C$12</x:f>
        <x:v>0.25925925925925924</x:v>
      </x:c>
    </x:row>
    <x:row r="11">
      <x:c r="B11" s="3" t="s">
        <x:v>33</x:v>
      </x:c>
      <x:c r="C11" s="2">
        <x:v>11</x:v>
      </x:c>
      <x:c r="D11" s="6">
        <x:f>C11/$C$12</x:f>
        <x:v>0.40740740740740738</x:v>
      </x:c>
    </x:row>
    <x:row r="12">
      <x:c r="B12" s="10" t="s">
        <x:v>25</x:v>
      </x:c>
      <x:c r="C12" s="11">
        <x:f>SUM(C9:C11)</x:f>
        <x:v>27</x:v>
      </x:c>
      <x:c r="D12" s="12">
        <x:f>SUM(D9:D11)</x:f>
        <x:v>1</x:v>
      </x:c>
    </x:row>
    <x:row r="27">
      <x:c r="B27" s="8" t="s">
        <x:v>26</x:v>
      </x:c>
    </x:row>
    <x:row r="28" ht="48" customHeight="1">
      <x:c r="B28" s="16" t="inlineStr">
        <x:is>
          <x:t xml:space="preserve">El móvil concentra 11 de los 27 defectos (40,7 %), la web 9 y la API 7. Conviene priorizar la revisión del móvil, considerando también su severidad y los casos ejecutados. Esta tabla no identifica los módulos específicos que presentaron fallos.</x:t>
        </x:is>
      </x:c>
      <x:c r="C28" s="17"/>
      <x:c r="D28" s="17"/>
      <x:c r="E28" s="17"/>
      <x:c r="F28" s="17"/>
      <x:c r="G28" s="17"/>
      <x:c r="H28" s="17"/>
      <x:c r="I28" s="17"/>
      <x:c r="J28" s="17"/>
      <x:c r="K28" s="17"/>
      <x:c r="L28" s="17"/>
    </x:row>
  </x:sheetData>
  <x:mergeCells>
    <x:mergeCell ref="B2:L2"/>
    <x:mergeCell ref="B5:L5"/>
    <x:mergeCell ref="B28:L28"/>
  </x:mergeCells>
  <x:pageMargins left="0.7" right="0.7" top="0.75" bottom="0.75" header="0.3" footer="0.3"/>
  <x:drawing xmlns:r="http://schemas.openxmlformats.org/officeDocument/2006/relationships" r:id="Rb10f5793b0eb4152"/>
</x:worksheet>
</file>

<file path=xl/worksheets/sheet4.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34" customWidth="1"/>
    <x:col min="3" max="4" width="16" customWidth="1"/>
    <x:col min="5" max="12" width="11" customWidth="1"/>
  </x:cols>
  <x:sheetData>
    <x:row r="2" ht="24" customHeight="1">
      <x:c r="B2" s="18" t="s">
        <x:v>34</x:v>
      </x:c>
      <x:c r="C2" s="17"/>
      <x:c r="D2" s="17"/>
      <x:c r="E2" s="17"/>
      <x:c r="F2" s="17"/>
      <x:c r="G2" s="17"/>
      <x:c r="H2" s="17"/>
      <x:c r="I2" s="17"/>
      <x:c r="J2" s="17"/>
      <x:c r="K2" s="17"/>
      <x:c r="L2" s="17"/>
    </x:row>
    <x:row r="4">
      <x:c r="B4" s="8" t="s">
        <x:v>22</x:v>
      </x:c>
    </x:row>
    <x:row r="5" ht="61.95000076293945" customHeight="1">
      <x:c r="B5" s="16" t="s">
        <x:v>35</x:v>
      </x:c>
      <x:c r="C5" s="17"/>
      <x:c r="D5" s="17"/>
      <x:c r="E5" s="17"/>
      <x:c r="F5" s="17"/>
      <x:c r="G5" s="17"/>
      <x:c r="H5" s="17"/>
      <x:c r="I5" s="17"/>
      <x:c r="J5" s="17"/>
      <x:c r="K5" s="17"/>
      <x:c r="L5" s="17"/>
    </x:row>
    <x:row r="7">
      <x:c r="B7" s="8" t="s">
        <x:v>23</x:v>
      </x:c>
    </x:row>
    <x:row r="8">
      <x:c r="B8" s="9" t="s">
        <x:v>36</x:v>
      </x:c>
      <x:c r="C8" s="9" t="s">
        <x:v>30</x:v>
      </x:c>
      <x:c r="D8" s="9" t="s">
        <x:v>24</x:v>
      </x:c>
    </x:row>
    <x:row r="9">
      <x:c r="B9" s="3" t="s">
        <x:v>37</x:v>
      </x:c>
      <x:c r="C9" s="2">
        <x:v>2</x:v>
      </x:c>
      <x:c r="D9" s="6">
        <x:f>C9/$C$13</x:f>
        <x:v>7.407407407407407E-2</x:v>
      </x:c>
    </x:row>
    <x:row r="10">
      <x:c r="B10" s="3" t="s">
        <x:v>38</x:v>
      </x:c>
      <x:c r="C10" s="2">
        <x:v>6</x:v>
      </x:c>
      <x:c r="D10" s="6">
        <x:f>C10/$C$13</x:f>
        <x:v>0.22222222222222221</x:v>
      </x:c>
    </x:row>
    <x:row r="11">
      <x:c r="B11" s="3" t="s">
        <x:v>39</x:v>
      </x:c>
      <x:c r="C11" s="2">
        <x:v>11</x:v>
      </x:c>
      <x:c r="D11" s="6">
        <x:f>C11/$C$13</x:f>
        <x:v>0.40740740740740738</x:v>
      </x:c>
    </x:row>
    <x:row r="12">
      <x:c r="B12" s="3" t="s">
        <x:v>40</x:v>
      </x:c>
      <x:c r="C12" s="2">
        <x:v>8</x:v>
      </x:c>
      <x:c r="D12" s="6">
        <x:f>C12/$C$13</x:f>
        <x:v>0.29629629629629628</x:v>
      </x:c>
    </x:row>
    <x:row r="13">
      <x:c r="B13" s="10" t="s">
        <x:v>25</x:v>
      </x:c>
      <x:c r="C13" s="11">
        <x:f>SUM(C9:C12)</x:f>
        <x:v>27</x:v>
      </x:c>
      <x:c r="D13" s="12">
        <x:f>SUM(D9:D12)</x:f>
        <x:v>1</x:v>
      </x:c>
    </x:row>
    <x:row r="27">
      <x:c r="B27" s="8" t="s">
        <x:v>26</x:v>
      </x:c>
    </x:row>
    <x:row r="28" ht="48" customHeight="1">
      <x:c r="B28" s="16" t="inlineStr">
        <x:is>
          <x:t xml:space="preserve">Se reportaron 8 defectos críticos o altos (29,6 %) y 19 medios o bajos (70,4 %). La distribución no demuestra por sí sola que el sistema sea usable. Debe identificarse cuáles de los 4 defectos abiertos son críticos o altos y verificar su corrección antes de decidir la entrega.</x:t>
        </x:is>
      </x:c>
      <x:c r="C28" s="17"/>
      <x:c r="D28" s="17"/>
      <x:c r="E28" s="17"/>
      <x:c r="F28" s="17"/>
      <x:c r="G28" s="17"/>
      <x:c r="H28" s="17"/>
      <x:c r="I28" s="17"/>
      <x:c r="J28" s="17"/>
      <x:c r="K28" s="17"/>
      <x:c r="L28" s="17"/>
    </x:row>
  </x:sheetData>
  <x:mergeCells>
    <x:mergeCell ref="B2:L2"/>
    <x:mergeCell ref="B5:L5"/>
    <x:mergeCell ref="B28:L28"/>
  </x:mergeCells>
  <x:pageMargins left="0.7" right="0.7" top="0.75" bottom="0.75" header="0.3" footer="0.3"/>
  <x:drawing xmlns:r="http://schemas.openxmlformats.org/officeDocument/2006/relationships" r:id="R4b739bd82ea448e7"/>
</x:worksheet>
</file>

<file path=xl/worksheets/sheet5.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34" customWidth="1"/>
    <x:col min="3" max="5" width="16" customWidth="1"/>
    <x:col min="6" max="12" width="11" customWidth="1"/>
  </x:cols>
  <x:sheetData>
    <x:row r="2" ht="24" customHeight="1">
      <x:c r="B2" s="18" t="s">
        <x:v>41</x:v>
      </x:c>
      <x:c r="C2" s="17"/>
      <x:c r="D2" s="17"/>
      <x:c r="E2" s="17"/>
      <x:c r="F2" s="17"/>
      <x:c r="G2" s="17"/>
      <x:c r="H2" s="17"/>
      <x:c r="I2" s="17"/>
      <x:c r="J2" s="17"/>
      <x:c r="K2" s="17"/>
      <x:c r="L2" s="17"/>
    </x:row>
    <x:row r="4">
      <x:c r="B4" s="8" t="s">
        <x:v>22</x:v>
      </x:c>
    </x:row>
    <x:row r="5" ht="61.95000076293945" customHeight="1">
      <x:c r="B5" s="16" t="s">
        <x:v>42</x:v>
      </x:c>
      <x:c r="C5" s="17"/>
      <x:c r="D5" s="17"/>
      <x:c r="E5" s="17"/>
      <x:c r="F5" s="17"/>
      <x:c r="G5" s="17"/>
      <x:c r="H5" s="17"/>
      <x:c r="I5" s="17"/>
      <x:c r="J5" s="17"/>
      <x:c r="K5" s="17"/>
      <x:c r="L5" s="17"/>
    </x:row>
    <x:row r="6">
      <x:c r="B6" s="16" t="s">
        <x:v>43</x:v>
      </x:c>
      <x:c r="C6" s="17"/>
      <x:c r="D6" s="17"/>
      <x:c r="E6" s="17"/>
      <x:c r="F6" s="17"/>
      <x:c r="G6" s="17"/>
      <x:c r="H6" s="17"/>
      <x:c r="I6" s="17"/>
      <x:c r="J6" s="17"/>
      <x:c r="K6" s="17"/>
      <x:c r="L6" s="17"/>
    </x:row>
    <x:row r="8">
      <x:c r="B8" s="8" t="s">
        <x:v>23</x:v>
      </x:c>
    </x:row>
    <x:row r="9" ht="27.600000381469727">
      <x:c r="B9" s="9" t="s">
        <x:v>29</x:v>
      </x:c>
      <x:c r="C9" s="9" t="s">
        <x:v>44</x:v>
      </x:c>
      <x:c r="D9" s="9" t="s">
        <x:v>30</x:v>
      </x:c>
      <x:c r="E9" s="9" t="s">
        <x:v>45</x:v>
      </x:c>
    </x:row>
    <x:row r="10">
      <x:c r="B10" s="3" t="s">
        <x:v>31</x:v>
      </x:c>
      <x:c r="C10" s="2">
        <x:v>40</x:v>
      </x:c>
      <x:c r="D10" s="2">
        <x:f>'2. Por plataforma'!C9</x:f>
        <x:v>9</x:v>
      </x:c>
      <x:c r="E10" s="7">
        <x:f>D10/C10</x:f>
        <x:v>0.22500000000000001</x:v>
      </x:c>
    </x:row>
    <x:row r="11">
      <x:c r="B11" s="3" t="s">
        <x:v>32</x:v>
      </x:c>
      <x:c r="C11" s="2">
        <x:v>30</x:v>
      </x:c>
      <x:c r="D11" s="2">
        <x:f>'2. Por plataforma'!C10</x:f>
        <x:v>7</x:v>
      </x:c>
      <x:c r="E11" s="7">
        <x:f>D11/C11</x:f>
        <x:v>0.23333333333333334</x:v>
      </x:c>
    </x:row>
    <x:row r="12">
      <x:c r="B12" s="3" t="s">
        <x:v>33</x:v>
      </x:c>
      <x:c r="C12" s="2">
        <x:v>38</x:v>
      </x:c>
      <x:c r="D12" s="2">
        <x:f>'2. Por plataforma'!C11</x:f>
        <x:v>11</x:v>
      </x:c>
      <x:c r="E12" s="7">
        <x:f>D12/C12</x:f>
        <x:v>0.28947368421052633</x:v>
      </x:c>
    </x:row>
    <x:row r="13">
      <x:c r="B13" s="14" t="s">
        <x:v>25</x:v>
      </x:c>
      <x:c r="C13" s="11">
        <x:f>SUM(C10:C12)</x:f>
        <x:v>108</x:v>
      </x:c>
      <x:c r="D13" s="11">
        <x:f>SUM(D10:D12)</x:f>
        <x:v>27</x:v>
      </x:c>
      <x:c r="E13" s="15">
        <x:f>D13/C13</x:f>
        <x:v>0.25</x:v>
      </x:c>
    </x:row>
    <x:row r="27">
      <x:c r="B27" s="8" t="s">
        <x:v>26</x:v>
      </x:c>
    </x:row>
    <x:row r="28" ht="48" customHeight="1">
      <x:c r="B28" s="16" t="inlineStr">
        <x:is>
          <x:t xml:space="preserve">Se encontraron 27 defectos en 108 casos ejecutados: 0,250 defectos por caso. El móvil obtuvo 0,289, la API 0,233 y la web 0,225; web y API son distintos aunque ambos redondeen a 0,23. Esta razón no equivale al porcentaje de casos fallidos. Sin una meta definida no puede calificarse como aceptable.</x:t>
        </x:is>
      </x:c>
      <x:c r="C28" s="17"/>
      <x:c r="D28" s="17"/>
      <x:c r="E28" s="17"/>
      <x:c r="F28" s="17"/>
      <x:c r="G28" s="17"/>
      <x:c r="H28" s="17"/>
      <x:c r="I28" s="17"/>
      <x:c r="J28" s="17"/>
      <x:c r="K28" s="17"/>
      <x:c r="L28" s="17"/>
    </x:row>
  </x:sheetData>
  <x:mergeCells>
    <x:mergeCell ref="B2:L2"/>
    <x:mergeCell ref="B28:L28"/>
    <x:mergeCell ref="B5:L5"/>
    <x:mergeCell ref="B6:L6"/>
  </x:mergeCells>
  <x:pageMargins left="0.7" right="0.7" top="0.75" bottom="0.75" header="0.3" footer="0.3"/>
  <x:drawing xmlns:r="http://schemas.openxmlformats.org/officeDocument/2006/relationships" r:id="Rc5ce16cfbbe443b5"/>
</x:worksheet>
</file>

<file path=xl/worksheets/sheet6.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34" customWidth="1"/>
    <x:col min="3" max="4" width="16" customWidth="1"/>
    <x:col min="5" max="12" width="11" customWidth="1"/>
  </x:cols>
  <x:sheetData>
    <x:row r="2" ht="24" customHeight="1">
      <x:c r="B2" s="18" t="s">
        <x:v>46</x:v>
      </x:c>
      <x:c r="C2" s="17"/>
      <x:c r="D2" s="17"/>
      <x:c r="E2" s="17"/>
      <x:c r="F2" s="17"/>
      <x:c r="G2" s="17"/>
      <x:c r="H2" s="17"/>
      <x:c r="I2" s="17"/>
      <x:c r="J2" s="17"/>
      <x:c r="K2" s="17"/>
      <x:c r="L2" s="17"/>
    </x:row>
    <x:row r="4">
      <x:c r="B4" s="8" t="s">
        <x:v>22</x:v>
      </x:c>
    </x:row>
    <x:row r="5" ht="61.95000076293945" customHeight="1">
      <x:c r="B5" s="16" t="s">
        <x:v>47</x:v>
      </x:c>
      <x:c r="C5" s="17"/>
      <x:c r="D5" s="17"/>
      <x:c r="E5" s="17"/>
      <x:c r="F5" s="17"/>
      <x:c r="G5" s="17"/>
      <x:c r="H5" s="17"/>
      <x:c r="I5" s="17"/>
      <x:c r="J5" s="17"/>
      <x:c r="K5" s="17"/>
      <x:c r="L5" s="17"/>
    </x:row>
    <x:row r="6">
      <x:c r="B6" s="16" t="s">
        <x:v>48</x:v>
      </x:c>
      <x:c r="C6" s="17"/>
      <x:c r="D6" s="17"/>
      <x:c r="E6" s="17"/>
      <x:c r="F6" s="17"/>
      <x:c r="G6" s="17"/>
      <x:c r="H6" s="17"/>
      <x:c r="I6" s="17"/>
      <x:c r="J6" s="17"/>
      <x:c r="K6" s="17"/>
      <x:c r="L6" s="17"/>
    </x:row>
    <x:row r="8">
      <x:c r="B8" s="8" t="s">
        <x:v>23</x:v>
      </x:c>
    </x:row>
    <x:row r="9">
      <x:c r="B9" s="9" t="s">
        <x:v>49</x:v>
      </x:c>
      <x:c r="C9" s="9" t="s">
        <x:v>50</x:v>
      </x:c>
      <x:c r="D9" s="9" t="s">
        <x:v>24</x:v>
      </x:c>
    </x:row>
    <x:row r="10">
      <x:c r="B10" s="3" t="s">
        <x:v>51</x:v>
      </x:c>
      <x:c r="C10" s="2">
        <x:v>44</x:v>
      </x:c>
      <x:c r="D10" s="6">
        <x:f>C10/$C$12</x:f>
        <x:v>0.91666666666666663</x:v>
      </x:c>
    </x:row>
    <x:row r="11">
      <x:c r="B11" s="3" t="s">
        <x:v>52</x:v>
      </x:c>
      <x:c r="C11" s="2">
        <x:v>4</x:v>
      </x:c>
      <x:c r="D11" s="6">
        <x:f>C11/$C$12</x:f>
        <x:v>8.3333333333333329E-2</x:v>
      </x:c>
    </x:row>
    <x:row r="12">
      <x:c r="B12" s="10" t="s">
        <x:v>25</x:v>
      </x:c>
      <x:c r="C12" s="11">
        <x:f>SUM(C10:C11)</x:f>
        <x:v>48</x:v>
      </x:c>
      <x:c r="D12" s="12">
        <x:f>SUM(D10:D11)</x:f>
        <x:v>1</x:v>
      </x:c>
    </x:row>
    <x:row r="27">
      <x:c r="B27" s="8" t="s">
        <x:v>26</x:v>
      </x:c>
    </x:row>
    <x:row r="28" ht="48" customHeight="1">
      <x:c r="B28" s="16" t="inlineStr">
        <x:is>
          <x:t xml:space="preserve">Se probaron al menos una vez 44 de 48 historias de usuario (91,7 %); quedan 4 sin cubrir (8,3 %). Esta cobertura indica alcance de ejecución, no que las historias hayan aprobado ni que se hayan probado todos sus escenarios. Deben diseñarse y ejecutarse casos para las historias pendientes.</x:t>
        </x:is>
      </x:c>
      <x:c r="C28" s="17"/>
      <x:c r="D28" s="17"/>
      <x:c r="E28" s="17"/>
      <x:c r="F28" s="17"/>
      <x:c r="G28" s="17"/>
      <x:c r="H28" s="17"/>
      <x:c r="I28" s="17"/>
      <x:c r="J28" s="17"/>
      <x:c r="K28" s="17"/>
      <x:c r="L28" s="17"/>
    </x:row>
  </x:sheetData>
  <x:mergeCells>
    <x:mergeCell ref="B2:L2"/>
    <x:mergeCell ref="B28:L28"/>
    <x:mergeCell ref="B5:L5"/>
    <x:mergeCell ref="B6:L6"/>
  </x:mergeCells>
  <x:pageMargins left="0.7" right="0.7" top="0.75" bottom="0.75" header="0.3" footer="0.3"/>
  <x:drawing xmlns:r="http://schemas.openxmlformats.org/officeDocument/2006/relationships" r:id="R512ddf109b5f4e0c"/>
</x:worksheet>
</file>

<file path=xl/worksheets/sheet7.xml><?xml version="1.0" encoding="utf-8"?>
<x:worksheet xmlns:x="http://schemas.openxmlformats.org/spreadsheetml/2006/main">
  <x:sheetViews>
    <x:sheetView showGridLines="0" workbookViewId="0"/>
  </x:sheetViews>
  <x:sheetFormatPr baseColWidth="10" defaultColWidth="8.88671875" defaultRowHeight="14.399999618530273"/>
  <x:cols>
    <x:col min="1" max="1" width="3" customWidth="1"/>
    <x:col min="2" max="2" width="34" customWidth="1"/>
    <x:col min="3" max="4" width="16" customWidth="1"/>
    <x:col min="5" max="12" width="11" customWidth="1"/>
  </x:cols>
  <x:sheetData>
    <x:row r="2" ht="24" customHeight="1">
      <x:c r="B2" s="18" t="s">
        <x:v>53</x:v>
      </x:c>
      <x:c r="C2" s="17"/>
      <x:c r="D2" s="17"/>
      <x:c r="E2" s="17"/>
      <x:c r="F2" s="17"/>
      <x:c r="G2" s="17"/>
      <x:c r="H2" s="17"/>
      <x:c r="I2" s="17"/>
      <x:c r="J2" s="17"/>
      <x:c r="K2" s="17"/>
      <x:c r="L2" s="17"/>
    </x:row>
    <x:row r="4">
      <x:c r="B4" s="8" t="s">
        <x:v>22</x:v>
      </x:c>
    </x:row>
    <x:row r="5" ht="61.95000076293945" customHeight="1">
      <x:c r="B5" s="16" t="s">
        <x:v>54</x:v>
      </x:c>
      <x:c r="C5" s="17"/>
      <x:c r="D5" s="17"/>
      <x:c r="E5" s="17"/>
      <x:c r="F5" s="17"/>
      <x:c r="G5" s="17"/>
      <x:c r="H5" s="17"/>
      <x:c r="I5" s="17"/>
      <x:c r="J5" s="17"/>
      <x:c r="K5" s="17"/>
      <x:c r="L5" s="17"/>
    </x:row>
    <x:row r="6">
      <x:c r="B6" s="16" t="s">
        <x:v>55</x:v>
      </x:c>
      <x:c r="C6" s="17"/>
      <x:c r="D6" s="17"/>
      <x:c r="E6" s="17"/>
      <x:c r="F6" s="17"/>
      <x:c r="G6" s="17"/>
      <x:c r="H6" s="17"/>
      <x:c r="I6" s="17"/>
      <x:c r="J6" s="17"/>
      <x:c r="K6" s="17"/>
      <x:c r="L6" s="17"/>
    </x:row>
    <x:row r="8">
      <x:c r="B8" s="8" t="s">
        <x:v>23</x:v>
      </x:c>
    </x:row>
    <x:row r="9">
      <x:c r="B9" s="9" t="s">
        <x:v>56</x:v>
      </x:c>
      <x:c r="C9" s="9" t="s">
        <x:v>50</x:v>
      </x:c>
      <x:c r="D9" s="9" t="s">
        <x:v>24</x:v>
      </x:c>
    </x:row>
    <x:row r="10">
      <x:c r="B10" s="3" t="s">
        <x:v>57</x:v>
      </x:c>
      <x:c r="C10" s="2">
        <x:v>23</x:v>
      </x:c>
      <x:c r="D10" s="6">
        <x:f>C10/$C$12</x:f>
        <x:v>0.85185185185185186</x:v>
      </x:c>
    </x:row>
    <x:row r="11">
      <x:c r="B11" s="3" t="s">
        <x:v>58</x:v>
      </x:c>
      <x:c r="C11" s="2">
        <x:v>4</x:v>
      </x:c>
      <x:c r="D11" s="6">
        <x:f>C11/$C$12</x:f>
        <x:v>0.14814814814814814</x:v>
      </x:c>
    </x:row>
    <x:row r="12">
      <x:c r="B12" s="10" t="s">
        <x:v>25</x:v>
      </x:c>
      <x:c r="C12" s="11">
        <x:f>SUM(C10:C11)</x:f>
        <x:v>27</x:v>
      </x:c>
      <x:c r="D12" s="12">
        <x:f>SUM(D10:D11)</x:f>
        <x:v>1</x:v>
      </x:c>
    </x:row>
    <x:row r="27">
      <x:c r="B27" s="8" t="s">
        <x:v>26</x:v>
      </x:c>
    </x:row>
    <x:row r="28" ht="48" customHeight="1">
      <x:c r="B28" s="16" t="inlineStr">
        <x:is>
          <x:t xml:space="preserve">Se corrigieron y verificaron manualmente 23 de 27 defectos (85,2 %). Quedan 4 abiertos (14,8 %), cuya severidad no se detalla aquí. Deben corregirse y volver a probarse según su prioridad. El porcentaje, sin tiempos ni una meta, no permite evaluar la rapidez del equipo.</x:t>
        </x:is>
      </x:c>
      <x:c r="C28" s="17"/>
      <x:c r="D28" s="17"/>
      <x:c r="E28" s="17"/>
      <x:c r="F28" s="17"/>
      <x:c r="G28" s="17"/>
      <x:c r="H28" s="17"/>
      <x:c r="I28" s="17"/>
      <x:c r="J28" s="17"/>
      <x:c r="K28" s="17"/>
      <x:c r="L28" s="17"/>
    </x:row>
  </x:sheetData>
  <x:mergeCells>
    <x:mergeCell ref="B2:L2"/>
    <x:mergeCell ref="B28:L28"/>
    <x:mergeCell ref="B5:L5"/>
    <x:mergeCell ref="B6:L6"/>
  </x:mergeCells>
  <x:pageMargins left="0.7" right="0.7" top="0.75" bottom="0.75" header="0.3" footer="0.3"/>
  <x:drawing xmlns:r="http://schemas.openxmlformats.org/officeDocument/2006/relationships" r:id="R3d8688a31a10467b"/>
</x:worksheet>
</file>